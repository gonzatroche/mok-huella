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gonzalo/Documents/Claude/Projects/Huella de Carbono/"/>
    </mc:Choice>
  </mc:AlternateContent>
  <xr:revisionPtr revIDLastSave="0" documentId="13_ncr:1_{2B2092BF-B5AA-1A41-BF95-4C1C4A3B1016}" xr6:coauthVersionLast="47" xr6:coauthVersionMax="47" xr10:uidLastSave="{00000000-0000-0000-0000-000000000000}"/>
  <bookViews>
    <workbookView xWindow="0" yWindow="600" windowWidth="38400" windowHeight="19740" tabRatio="500" activeTab="3" xr2:uid="{00000000-000D-0000-FFFF-FFFF00000000}"/>
  </bookViews>
  <sheets>
    <sheet name="📋 Instrucciones" sheetId="1" r:id="rId1"/>
    <sheet name="⚙️ Configuración" sheetId="2" r:id="rId2"/>
    <sheet name="🏗️ Obras" sheetId="3" r:id="rId3"/>
    <sheet name="📊 Base de Datos" sheetId="4" r:id="rId4"/>
    <sheet name="📈 Consolidado" sheetId="5" r:id="rId5"/>
    <sheet name="🏢 Informe Dirección" sheetId="6" r:id="rId6"/>
    <sheet name="🔢 Factores Emisión" sheetId="7" r:id="rId7"/>
  </sheets>
  <definedNames>
    <definedName name="CategoriasISO">'⚙️ Configuración'!$C$2:$C$6</definedName>
    <definedName name="TiposInstalacion">'⚙️ Configuración'!$B$2:$B$8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4" l="1"/>
  <c r="A5" i="4" s="1"/>
  <c r="A6" i="4"/>
  <c r="F4" i="4"/>
  <c r="K2" i="2" a="1"/>
  <c r="K2" i="2" s="1"/>
  <c r="K1" i="2"/>
  <c r="C18" i="6"/>
  <c r="C17" i="6"/>
  <c r="C16" i="6"/>
  <c r="C15" i="6"/>
  <c r="C14" i="6"/>
  <c r="C13" i="6"/>
  <c r="F8" i="6"/>
  <c r="B4" i="6"/>
  <c r="E24" i="5"/>
  <c r="D24" i="5"/>
  <c r="C24" i="5"/>
  <c r="E23" i="5"/>
  <c r="D23" i="5"/>
  <c r="C23" i="5"/>
  <c r="E22" i="5"/>
  <c r="C22" i="5"/>
  <c r="E21" i="5"/>
  <c r="D21" i="5"/>
  <c r="C21" i="5"/>
  <c r="F21" i="5" s="1"/>
  <c r="E20" i="5"/>
  <c r="F20" i="5" s="1"/>
  <c r="D20" i="5"/>
  <c r="C20" i="5"/>
  <c r="E19" i="5"/>
  <c r="D19" i="5"/>
  <c r="C19" i="5"/>
  <c r="E18" i="5"/>
  <c r="F13" i="5"/>
  <c r="G17" i="6" s="1"/>
  <c r="E13" i="5"/>
  <c r="F17" i="6" s="1"/>
  <c r="D13" i="5"/>
  <c r="E17" i="6" s="1"/>
  <c r="C13" i="5"/>
  <c r="D17" i="6" s="1"/>
  <c r="F12" i="5"/>
  <c r="G16" i="6" s="1"/>
  <c r="E12" i="5"/>
  <c r="F16" i="6" s="1"/>
  <c r="D12" i="5"/>
  <c r="E16" i="6" s="1"/>
  <c r="C12" i="5"/>
  <c r="G12" i="5" s="1"/>
  <c r="F11" i="5"/>
  <c r="G15" i="6" s="1"/>
  <c r="E11" i="5"/>
  <c r="F15" i="6" s="1"/>
  <c r="D11" i="5"/>
  <c r="E15" i="6" s="1"/>
  <c r="C11" i="5"/>
  <c r="D15" i="6" s="1"/>
  <c r="F10" i="5"/>
  <c r="G14" i="6" s="1"/>
  <c r="E10" i="5"/>
  <c r="D10" i="5"/>
  <c r="E14" i="6" s="1"/>
  <c r="F9" i="5"/>
  <c r="E9" i="5"/>
  <c r="F13" i="6" s="1"/>
  <c r="D9" i="5"/>
  <c r="N6" i="4"/>
  <c r="D22" i="5" s="1"/>
  <c r="F22" i="5" s="1"/>
  <c r="N5" i="4"/>
  <c r="C10" i="5" s="1"/>
  <c r="G10" i="5" s="1"/>
  <c r="D8" i="6" s="1"/>
  <c r="N4" i="4"/>
  <c r="C9" i="5" s="1"/>
  <c r="G9" i="5" s="1"/>
  <c r="A8" i="3"/>
  <c r="A7" i="3"/>
  <c r="A6" i="3"/>
  <c r="A5" i="3"/>
  <c r="A4" i="3"/>
  <c r="E14" i="5" l="1"/>
  <c r="F18" i="6" s="1"/>
  <c r="C18" i="5"/>
  <c r="F18" i="5" s="1"/>
  <c r="D18" i="5"/>
  <c r="F19" i="5"/>
  <c r="F23" i="5"/>
  <c r="F14" i="5"/>
  <c r="G18" i="6" s="1"/>
  <c r="G11" i="5"/>
  <c r="D14" i="5"/>
  <c r="E18" i="6" s="1"/>
  <c r="F24" i="5"/>
  <c r="C8" i="6"/>
  <c r="D14" i="6"/>
  <c r="F14" i="6"/>
  <c r="D16" i="6"/>
  <c r="G13" i="5"/>
  <c r="D13" i="6"/>
  <c r="C14" i="5"/>
  <c r="D18" i="6" s="1"/>
  <c r="E13" i="6"/>
  <c r="G13" i="6"/>
  <c r="E8" i="6" l="1"/>
  <c r="G14" i="5"/>
  <c r="B8" i="6" l="1"/>
  <c r="G22" i="5"/>
  <c r="G21" i="5"/>
  <c r="G24" i="5"/>
  <c r="G18" i="5"/>
  <c r="G23" i="5"/>
  <c r="G20" i="5"/>
  <c r="G1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<sst xmlns="http://schemas.openxmlformats.org/spreadsheetml/2006/main" count="905" uniqueCount="337">
  <si>
    <t>SISTEMA DE GESTIÓN DE HUELLA DE CARBONO — ISO 14064-1</t>
  </si>
  <si>
    <t>José Cujó SA  ·  Herramienta de recolección de datos</t>
  </si>
  <si>
    <t>¿QUÉ CONTIENE ESTE ARCHIVO?</t>
  </si>
  <si>
    <t>📋 Instrucciones</t>
  </si>
  <si>
    <t>Esta hoja. Explica cómo usar el sistema.</t>
  </si>
  <si>
    <t>⚙️ Configuración</t>
  </si>
  <si>
    <t>Listas desplegables y fuentes de emisión por tipo de obra. No modificar.</t>
  </si>
  <si>
    <t>🏗️ Obras</t>
  </si>
  <si>
    <t>Registro maestro de todas las obras/instalaciones activas.</t>
  </si>
  <si>
    <t>📊 Base de Datos</t>
  </si>
  <si>
    <t>Tabla principal de carga de datos de emisiones. Una fila = un dato.</t>
  </si>
  <si>
    <t>📈 Consolidado</t>
  </si>
  <si>
    <t>Resumen automático por alcance, tipo de obra y período.</t>
  </si>
  <si>
    <t>🏢 Informe Dirección</t>
  </si>
  <si>
    <t>Vista ejecutiva con totales e indicadores para la dirección.</t>
  </si>
  <si>
    <t>🔢 Factores Emisión</t>
  </si>
  <si>
    <t>Factores de conversión a CO₂eq. Referencia normativa.</t>
  </si>
  <si>
    <t>¿CÓMO USAR EL SISTEMA PASO A PASO?</t>
  </si>
  <si>
    <t>PASO 1: Registrar la obra</t>
  </si>
  <si>
    <t>Ir a la hoja '🏗️ Obras' y completar los datos identificatorios de la obra o instalación.</t>
  </si>
  <si>
    <t>PASO 2: Cargar datos de emisiones</t>
  </si>
  <si>
    <t>Ir a '📊 Base de Datos'. Cada fila es un dato de emisión. Completar: obra, fuente, cantidad y evidencia.</t>
  </si>
  <si>
    <t>PASO 3: Usar los desplegables</t>
  </si>
  <si>
    <t>Los campos de Tipo de Obra, Categoría y Fuente tienen listas desplegables. Siempre seleccionar de la lista.</t>
  </si>
  <si>
    <t>PASO 4: Adjuntar evidencia</t>
  </si>
  <si>
    <t>En la columna 'Referencia Evidencia' indicar el nombre del archivo o link en SharePoint.</t>
  </si>
  <si>
    <t>PASO 5: Revisar el Consolidado</t>
  </si>
  <si>
    <t>La hoja '📈 Consolidado' se actualiza automáticamente con los datos cargados.</t>
  </si>
  <si>
    <t>PASO 6: Exportar para auditoría</t>
  </si>
  <si>
    <t>Para auditoría externa, usar '🏢 Informe Dirección' o filtrar la Base de Datos por obra/período.</t>
  </si>
  <si>
    <t>ALCANCES ISO 14064-1 (SCOPES)</t>
  </si>
  <si>
    <t>Alcance 1 / Scope 1</t>
  </si>
  <si>
    <t>Emisiones directas de GEI: Combustibles propios, gases fugitivos, cambio de uso de suelo. Color: naranja.</t>
  </si>
  <si>
    <t>Alcance 2 / Scope 2</t>
  </si>
  <si>
    <t>Emisiones indirectas por energía: Electricidad y vapor comprados a terceros. Color: violeta.</t>
  </si>
  <si>
    <t>Alcance 3 / Scope 3</t>
  </si>
  <si>
    <t>Otras emisiones indirectas: Transporte contratado, materiales, residuos, viajes de negocios. Color: verde.</t>
  </si>
  <si>
    <t>Versión 1.0  ·  ISO 14064-1:2018  ·  ISO TR 14069:2013  ·  José Cujó SA</t>
  </si>
  <si>
    <t>TIPOS DE INSTALACIÓN</t>
  </si>
  <si>
    <t>CATEGORÍAS ISO 14064-1</t>
  </si>
  <si>
    <t>FUENTE DE EMISIÓN</t>
  </si>
  <si>
    <t>UNIDAD</t>
  </si>
  <si>
    <t>Vial</t>
  </si>
  <si>
    <t>Alcance 1 - Emisiones directas de GEI</t>
  </si>
  <si>
    <t>Combustión móvil - Maquinaria pesada</t>
  </si>
  <si>
    <t>L</t>
  </si>
  <si>
    <t>Combustión móvil - Camiones propios</t>
  </si>
  <si>
    <t>Combustión estacionaria - Generadores</t>
  </si>
  <si>
    <t>Combustión estacionaria - Planta asfáltica</t>
  </si>
  <si>
    <t>Cambio uso suelo - Desmonte/vegetación</t>
  </si>
  <si>
    <t>m²</t>
  </si>
  <si>
    <t>Fugitivas - Aire acondicionado (refrigerante)</t>
  </si>
  <si>
    <t>kg</t>
  </si>
  <si>
    <t>Fugitivas - Extintores (gas)</t>
  </si>
  <si>
    <t>Alcance 2 - Emisiones indirectas por energía importada</t>
  </si>
  <si>
    <t>Electricidad adquirida (UTE)</t>
  </si>
  <si>
    <t>kWh</t>
  </si>
  <si>
    <t>Alcance 3 - Emisiones indirectas por transporte</t>
  </si>
  <si>
    <t>Transporte de materiales (flete contratado)</t>
  </si>
  <si>
    <t>km</t>
  </si>
  <si>
    <t>Transporte de personal</t>
  </si>
  <si>
    <t>Transporte de maquinaria entre obras</t>
  </si>
  <si>
    <t>Alcance 3 - Emisiones indirectas por productos utilizados</t>
  </si>
  <si>
    <t>Agregados finos</t>
  </si>
  <si>
    <t>t</t>
  </si>
  <si>
    <t>Relleno mineral (filler)</t>
  </si>
  <si>
    <t>Asfalto reusado (RAP)</t>
  </si>
  <si>
    <t>Emulsiones asfálticas</t>
  </si>
  <si>
    <t>Cemento Portland</t>
  </si>
  <si>
    <t>Cal</t>
  </si>
  <si>
    <t>Aditivos químicos</t>
  </si>
  <si>
    <t>Geotextiles (PP)</t>
  </si>
  <si>
    <t>Geomallas</t>
  </si>
  <si>
    <t>Señalización vial (pintura)</t>
  </si>
  <si>
    <t>Tosca</t>
  </si>
  <si>
    <t>Balasto</t>
  </si>
  <si>
    <t>Grava</t>
  </si>
  <si>
    <t>Arena</t>
  </si>
  <si>
    <t>Movimiento de suelo</t>
  </si>
  <si>
    <t>m³</t>
  </si>
  <si>
    <t>Lubricantes</t>
  </si>
  <si>
    <t>Aceites hidráulicos</t>
  </si>
  <si>
    <t>Alcance 3 - Otras emisiones indirectas</t>
  </si>
  <si>
    <t>Gestión de residuos de obra</t>
  </si>
  <si>
    <t>Aguas residuales / Baños químicos</t>
  </si>
  <si>
    <t>Estructural</t>
  </si>
  <si>
    <t>Hormigón premezclado</t>
  </si>
  <si>
    <t>Acero de refuerzo</t>
  </si>
  <si>
    <t>Acero estructural</t>
  </si>
  <si>
    <t>Encofrados de madera</t>
  </si>
  <si>
    <t>Pinturas y recubrimientos</t>
  </si>
  <si>
    <t>Hidráulica</t>
  </si>
  <si>
    <t>Tuberías PVC</t>
  </si>
  <si>
    <t>Tuberías PEAD</t>
  </si>
  <si>
    <t>Prefabricados de hormigón</t>
  </si>
  <si>
    <t>Geomembranas</t>
  </si>
  <si>
    <t>Piedra bruta / escollera</t>
  </si>
  <si>
    <t>Arquitectura</t>
  </si>
  <si>
    <t>Ladrillos cerámicos</t>
  </si>
  <si>
    <t>Bloques de hormigón</t>
  </si>
  <si>
    <t>Cerámicos y revestimientos</t>
  </si>
  <si>
    <t>Vidrio</t>
  </si>
  <si>
    <t>Aluminio (perfiles)</t>
  </si>
  <si>
    <t>Madera</t>
  </si>
  <si>
    <t>Oficina Central</t>
  </si>
  <si>
    <t>Combustión móvil - Vehículos administrativos</t>
  </si>
  <si>
    <t>Viajes aéreos de negocios</t>
  </si>
  <si>
    <t>Viajes terrestres de negocios</t>
  </si>
  <si>
    <t>Desplazamiento de empleados al trabajo</t>
  </si>
  <si>
    <t>Gestión de residuos de oficina</t>
  </si>
  <si>
    <t>Aguas residuales</t>
  </si>
  <si>
    <t>Centro Logístico (Taller/Depósito)</t>
  </si>
  <si>
    <t>Combustión móvil - Vehículos y maquinaria</t>
  </si>
  <si>
    <t>Traslado de equipos</t>
  </si>
  <si>
    <t>Traslado de maquinaria pesada</t>
  </si>
  <si>
    <t>Transporte de repuestos</t>
  </si>
  <si>
    <t>Aceites y lubricantes</t>
  </si>
  <si>
    <t>Solventes y desengrasantes</t>
  </si>
  <si>
    <t>Neumáticos</t>
  </si>
  <si>
    <t>Gestión de residuos peligrosos</t>
  </si>
  <si>
    <t>Gestión de residuos no peligrosos</t>
  </si>
  <si>
    <t>Planta de Hormigón Fija</t>
  </si>
  <si>
    <t>Combustión estacionaria - Equipos fijos</t>
  </si>
  <si>
    <t>Combustión móvil - Maquinaria en planta</t>
  </si>
  <si>
    <t>Fugitivas - Refrigeración</t>
  </si>
  <si>
    <t>Transporte de áridos a planta</t>
  </si>
  <si>
    <t>Transporte de cemento a planta</t>
  </si>
  <si>
    <t>Transporte de hormigón a obra</t>
  </si>
  <si>
    <t>Áridos (grava/arena)</t>
  </si>
  <si>
    <t>Aditivos químicos para hormigón</t>
  </si>
  <si>
    <t>Gestión de residuos de planta</t>
  </si>
  <si>
    <t>Aguas residuales de planta</t>
  </si>
  <si>
    <t>🏗️  REGISTRO MAESTRO DE OBRAS E INSTALACIONES</t>
  </si>
  <si>
    <t>Completar una fila por cada obra o instalación. El ID se asigna automáticamente. Usar los desplegables para Tipo, Modalidad y Estado.</t>
  </si>
  <si>
    <t>ID</t>
  </si>
  <si>
    <t>Código Interno</t>
  </si>
  <si>
    <t>Nombre de Obra</t>
  </si>
  <si>
    <t>Tipo</t>
  </si>
  <si>
    <t>Cliente</t>
  </si>
  <si>
    <t>Departamento</t>
  </si>
  <si>
    <t>Padrón / Dirección</t>
  </si>
  <si>
    <t>Fecha Inicio</t>
  </si>
  <si>
    <t>Fecha Fin</t>
  </si>
  <si>
    <t>Año Ejecución</t>
  </si>
  <si>
    <t>N° Personas</t>
  </si>
  <si>
    <t>Modalidad</t>
  </si>
  <si>
    <t>Responsable Datos</t>
  </si>
  <si>
    <t>Estado</t>
  </si>
  <si>
    <t>Observaciones</t>
  </si>
  <si>
    <t>OB-2025-001</t>
  </si>
  <si>
    <t>Ruta 8 Km 45 - Pavimentación</t>
  </si>
  <si>
    <t>MTOP</t>
  </si>
  <si>
    <t>Lavalleja</t>
  </si>
  <si>
    <t>Km 45 R8</t>
  </si>
  <si>
    <t>01/03/2025</t>
  </si>
  <si>
    <t>30/11/2025</t>
  </si>
  <si>
    <t>Obra propia</t>
  </si>
  <si>
    <t>Ing. García</t>
  </si>
  <si>
    <t>Activa</t>
  </si>
  <si>
    <t>OB-2025-002</t>
  </si>
  <si>
    <t>Puente sobre Arroyo Solís</t>
  </si>
  <si>
    <t>OSE</t>
  </si>
  <si>
    <t>Canelones</t>
  </si>
  <si>
    <t>Arroyo Solís Grande</t>
  </si>
  <si>
    <t>15/01/2025</t>
  </si>
  <si>
    <t>31/08/2025</t>
  </si>
  <si>
    <t>Consorcio</t>
  </si>
  <si>
    <t>Ing. Martínez</t>
  </si>
  <si>
    <t>Consorcio con Caminosur</t>
  </si>
  <si>
    <t>OB-2025-003</t>
  </si>
  <si>
    <t>Planta Potabilizadora Norte</t>
  </si>
  <si>
    <t>Montevideo</t>
  </si>
  <si>
    <t>Av. Italia 3000</t>
  </si>
  <si>
    <t>01/06/2025</t>
  </si>
  <si>
    <t>30/06/2026</t>
  </si>
  <si>
    <t>Ing. Rodríguez</t>
  </si>
  <si>
    <t>INS-2025-001</t>
  </si>
  <si>
    <t>Oficina Central Montevideo</t>
  </si>
  <si>
    <t>José Cujó SA</t>
  </si>
  <si>
    <t>18 de Julio 1890</t>
  </si>
  <si>
    <t>01/01/2025</t>
  </si>
  <si>
    <t>31/12/2025</t>
  </si>
  <si>
    <t>Instalación fija</t>
  </si>
  <si>
    <t>Lic. Pérez</t>
  </si>
  <si>
    <t>Año calendario completo</t>
  </si>
  <si>
    <t>INS-2025-002</t>
  </si>
  <si>
    <t>Centro Logístico Pando</t>
  </si>
  <si>
    <t>Ruta 8 Km 35</t>
  </si>
  <si>
    <t>Tec. López</t>
  </si>
  <si>
    <t>📊  BASE DE DATOS — EMISIONES DE GEI  ·  ISO 14064-1</t>
  </si>
  <si>
    <t>INSTRUCCIÓN: Cada fila = un registro de emisión. Completar todos los campos en azul. Usar siempre los desplegables. La columna 'Emisiones (t CO₂eq)' se calcula automáticamente con el Factor de Emisión.</t>
  </si>
  <si>
    <t>ID
Registro</t>
  </si>
  <si>
    <t>Año</t>
  </si>
  <si>
    <t>Trimestre</t>
  </si>
  <si>
    <t>Período
(Mes/Año)</t>
  </si>
  <si>
    <t>Código
Obra</t>
  </si>
  <si>
    <t>Nombre de Obra /
Instalación</t>
  </si>
  <si>
    <t>Tipo de
Instalación</t>
  </si>
  <si>
    <t>Categoría ISO 14064-1
(Alcance)</t>
  </si>
  <si>
    <t>Fuente de Emisión</t>
  </si>
  <si>
    <t>Actividad /
Detalle</t>
  </si>
  <si>
    <t>Cantidad</t>
  </si>
  <si>
    <t>Unidad</t>
  </si>
  <si>
    <t>Factor de Emisión
(kg CO₂eq/unidad)</t>
  </si>
  <si>
    <t>Emisiones
(t CO₂eq)</t>
  </si>
  <si>
    <t>Responsable
Carga</t>
  </si>
  <si>
    <t>Fecha
Carga</t>
  </si>
  <si>
    <t>Verificado
SGI</t>
  </si>
  <si>
    <t>T1</t>
  </si>
  <si>
    <t>Mar-2025</t>
  </si>
  <si>
    <t>Excavadora CAT 336 - Mes de marzo</t>
  </si>
  <si>
    <t>Remito Combustible RE-2025-0312.pdf</t>
  </si>
  <si>
    <t>García, Juan</t>
  </si>
  <si>
    <t>31/03/2025</t>
  </si>
  <si>
    <t>Pendiente</t>
  </si>
  <si>
    <t>Factura UTE obrador marzo 2025</t>
  </si>
  <si>
    <t>Factura UTE 2025-03.pdf</t>
  </si>
  <si>
    <t>Sí</t>
  </si>
  <si>
    <t>Ene-2025</t>
  </si>
  <si>
    <t>Factura UTE oficinas enero 2025</t>
  </si>
  <si>
    <t>Factura UTE ENE-2025.pdf</t>
  </si>
  <si>
    <t>Pérez, Ana</t>
  </si>
  <si>
    <t>31/01/2025</t>
  </si>
  <si>
    <t>📈  CONSOLIDADO DE EMISIONES  ·  ISO 14064-1</t>
  </si>
  <si>
    <t>Resumen automático. Los datos se calculan desde la hoja 'Base de Datos'.</t>
  </si>
  <si>
    <t>AÑO DE REPORTE:</t>
  </si>
  <si>
    <t>← Cambiar el año aquí para filtrar</t>
  </si>
  <si>
    <t>RESUMEN POR ALCANCE (t CO₂eq)</t>
  </si>
  <si>
    <t>Alcance / Categoría</t>
  </si>
  <si>
    <t>T2</t>
  </si>
  <si>
    <t>T3</t>
  </si>
  <si>
    <t>T4</t>
  </si>
  <si>
    <t>TOTAL AÑO</t>
  </si>
  <si>
    <t>Alcance 3 - Transporte</t>
  </si>
  <si>
    <t>Alcance 3 - Productos utilizados</t>
  </si>
  <si>
    <t>TOTAL EMISIONES ORGANIZACIÓN</t>
  </si>
  <si>
    <t>EMISIONES POR TIPO DE INSTALACIÓN (t CO₂eq) — AÑO COMPLETO</t>
  </si>
  <si>
    <t>Tipo de Instalación</t>
  </si>
  <si>
    <t>Alcance 1</t>
  </si>
  <si>
    <t>Alcance 2</t>
  </si>
  <si>
    <t>Alcance 3</t>
  </si>
  <si>
    <t>TOTAL</t>
  </si>
  <si>
    <t>%</t>
  </si>
  <si>
    <t>JOSÉ CUJÓ S.A.</t>
  </si>
  <si>
    <t>INFORME DE HUELLA DE CARBONO CORPORATIVA  ·  ISO 14064-1:2018</t>
  </si>
  <si>
    <t>INDICADORES CLAVE DE DESEMPEÑO AMBIENTAL</t>
  </si>
  <si>
    <t>TOTAL EMISIONES</t>
  </si>
  <si>
    <t>ALCANCE 1
(Directas)</t>
  </si>
  <si>
    <t>ALCANCE 2
(Energía)</t>
  </si>
  <si>
    <t>ALCANCE 3
(Indirectas)</t>
  </si>
  <si>
    <t>OBRAS
ACTIVAS</t>
  </si>
  <si>
    <t>t CO₂eq</t>
  </si>
  <si>
    <t>obras</t>
  </si>
  <si>
    <t>DETALLE DE EMISIONES POR ALCANCE Y TRIMESTRE (t CO₂eq)</t>
  </si>
  <si>
    <t>Total Año</t>
  </si>
  <si>
    <t>Alcance 1 - Emisiones directas</t>
  </si>
  <si>
    <t>Alcance 2 - Energía importada</t>
  </si>
  <si>
    <t>Alcance 3 - Otras indirectas</t>
  </si>
  <si>
    <t>NOTA METODOLÓGICA</t>
  </si>
  <si>
    <t>• Norma aplicada: ISO 14064-1:2018 (Cuantificación e informe de emisiones de GEI a nivel de organización).</t>
  </si>
  <si>
    <t>• Metodología de cuantificación: ISO TR 14069:2013.</t>
  </si>
  <si>
    <t>• Año base de reporte: según celda C5 de hoja Consolidado.</t>
  </si>
  <si>
    <t>• Factores de emisión: ingresados manualmente en hoja Factores Emisión. Fuentes: IPCC, MVOTMA, IEA.</t>
  </si>
  <si>
    <t>• Gases incluidos: CO₂, CH₄, N₂O, HFCs, PFCs, SF₆ (expresados en CO₂ equivalente).</t>
  </si>
  <si>
    <t>• Los datos corresponden al inventario de la organización José Cujó SA y sus instalaciones fijas.</t>
  </si>
  <si>
    <t>🔢  FACTORES DE EMISIÓN DE REFERENCIA  ·  ISO 14064-1 / ISO TR 14069</t>
  </si>
  <si>
    <t>Referencia normativa para el cálculo de emisiones en kg CO₂eq por unidad de actividad. Actualizar cuando cambien los factores oficiales.</t>
  </si>
  <si>
    <t>Fuente / Insumo</t>
  </si>
  <si>
    <t>Descripción</t>
  </si>
  <si>
    <t>Factor (kg CO₂eq/unidad)</t>
  </si>
  <si>
    <t>Alcance ISO 14064</t>
  </si>
  <si>
    <t>Fuente del Factor</t>
  </si>
  <si>
    <t>Gasoil (Diesel)</t>
  </si>
  <si>
    <t>Combustión en maquinaria y vehículos</t>
  </si>
  <si>
    <t>IPCC 2006 / MVOTMA</t>
  </si>
  <si>
    <t>Gasolina / Nafta</t>
  </si>
  <si>
    <t>Combustión en vehículos livianos</t>
  </si>
  <si>
    <t>IPCC 2006</t>
  </si>
  <si>
    <t>GLP (Gas licuado)</t>
  </si>
  <si>
    <t>Combustión estacionaria</t>
  </si>
  <si>
    <t>Gas natural</t>
  </si>
  <si>
    <t>HFC-134a (refrigerante)</t>
  </si>
  <si>
    <t>Fugas de equipos de aire acondicionado</t>
  </si>
  <si>
    <t>IPCC AR5 GWP100</t>
  </si>
  <si>
    <t>R-410A (refrigerante)</t>
  </si>
  <si>
    <t>CO₂ extintores</t>
  </si>
  <si>
    <t>Descarga de extintores</t>
  </si>
  <si>
    <t>Electricidad UTE Uruguay</t>
  </si>
  <si>
    <t>Red eléctrica nacional (mix de generación)</t>
  </si>
  <si>
    <t>MVOTMA / IEA Uruguay 2023</t>
  </si>
  <si>
    <t>Camión pesado diesel &gt;32t</t>
  </si>
  <si>
    <t>Transporte de materiales o maquinaria</t>
  </si>
  <si>
    <t>IPCC 2006 / ECOTRANSIT</t>
  </si>
  <si>
    <t>Camión mediano diesel</t>
  </si>
  <si>
    <t>Transporte de materiales ligeros</t>
  </si>
  <si>
    <t>Automóvil diesel</t>
  </si>
  <si>
    <t>Vehículo administrativo o transporte personal</t>
  </si>
  <si>
    <t>Automóvil nafta</t>
  </si>
  <si>
    <t>Avión - vuelo corto</t>
  </si>
  <si>
    <t>Viajes aéreos de negocios &lt; 1000 km</t>
  </si>
  <si>
    <t>DEFRA 2023</t>
  </si>
  <si>
    <t>Avión - vuelo largo</t>
  </si>
  <si>
    <t>Viajes aéreos de negocios &gt; 1000 km</t>
  </si>
  <si>
    <t>Producción de cemento tipo CPN 40</t>
  </si>
  <si>
    <t>IPCC 2006 / ICR</t>
  </si>
  <si>
    <t>Producción de acero laminado</t>
  </si>
  <si>
    <t>worldsteel 2022</t>
  </si>
  <si>
    <t>Producción de acero nervado</t>
  </si>
  <si>
    <t>Producción de hormigón H-25 típico</t>
  </si>
  <si>
    <t>IPCC / ICR estimado</t>
  </si>
  <si>
    <t>Producción de ladrillos comunes</t>
  </si>
  <si>
    <t>Vidrio plano</t>
  </si>
  <si>
    <t>Producción de vidrio float</t>
  </si>
  <si>
    <t>ICE v3.0 UK</t>
  </si>
  <si>
    <t>Aluminio (primario)</t>
  </si>
  <si>
    <t>Producción de aluminio extruido</t>
  </si>
  <si>
    <t>IAI 2023</t>
  </si>
  <si>
    <t>Madera aserrada</t>
  </si>
  <si>
    <t>Madera de pino o eucaliptos</t>
  </si>
  <si>
    <t>PVC (tuberías)</t>
  </si>
  <si>
    <t>Producción de PVC virgen</t>
  </si>
  <si>
    <t>ICE v3.0</t>
  </si>
  <si>
    <t>PEAD (tuberías)</t>
  </si>
  <si>
    <t>Producción de PEAD</t>
  </si>
  <si>
    <t>Pinturas solvente</t>
  </si>
  <si>
    <t>Pintura con solvente</t>
  </si>
  <si>
    <t>ICE estimado</t>
  </si>
  <si>
    <t>Pinturas al agua</t>
  </si>
  <si>
    <t>Pintura látex / agua</t>
  </si>
  <si>
    <t>Residuos a relleno</t>
  </si>
  <si>
    <t>Disposición en relleno sanitario</t>
  </si>
  <si>
    <t>Residuos peligrosos</t>
  </si>
  <si>
    <t>Tratamiento de residuos peligrosos</t>
  </si>
  <si>
    <t>IPCC estimado</t>
  </si>
  <si>
    <t>Tratamiento de aguas servidas</t>
  </si>
  <si>
    <t>NOTA: Estos factores son valores de referencia. Se recomienda actualizar anualmente con datos de MVOTMA, IPCC y fuentes específicas de Uruguay. Los factores de electricidad de UTE varían cada año según el mix de generación.</t>
  </si>
  <si>
    <t>Referencia
Evidencia (Link Sharepoint)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</si>
</sst>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0.0%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C55A11"/>
      <name val="Arial"/>
      <family val="2"/>
    </font>
    <font>
      <b/>
      <sz val="10"/>
      <color rgb="FF7030A0"/>
      <name val="Arial"/>
      <family val="2"/>
    </font>
    <font>
      <i/>
      <sz val="9"/>
      <color rgb="FF808080"/>
      <name val="Arial"/>
      <family val="2"/>
    </font>
    <font>
      <b/>
      <sz val="13"/>
      <color rgb="FFFFFFFF"/>
      <name val="Arial"/>
      <family val="2"/>
    </font>
    <font>
      <i/>
      <sz val="9"/>
      <color rgb="FF404040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4"/>
      <color rgb="FF1F4E79"/>
      <name val="Arial"/>
      <family val="2"/>
    </font>
    <font>
      <b/>
      <sz val="18"/>
      <color rgb="FFFFFFFF"/>
      <name val="Arial"/>
      <family val="2"/>
    </font>
    <font>
      <i/>
      <sz val="10"/>
      <color rgb="FF404040"/>
      <name val="Arial"/>
      <family val="2"/>
    </font>
    <font>
      <b/>
      <sz val="20"/>
      <color rgb="FF1F4E79"/>
      <name val="Arial"/>
      <family val="2"/>
    </font>
    <font>
      <b/>
      <sz val="20"/>
      <color rgb="FFC55A11"/>
      <name val="Arial"/>
      <family val="2"/>
    </font>
    <font>
      <b/>
      <sz val="20"/>
      <color rgb="FF7030A0"/>
      <name val="Arial"/>
      <family val="2"/>
    </font>
    <font>
      <b/>
      <sz val="20"/>
      <color rgb="FF375623"/>
      <name val="Arial"/>
      <family val="2"/>
    </font>
    <font>
      <b/>
      <sz val="20"/>
      <color rgb="FF2E75B6"/>
      <name val="Arial"/>
      <family val="2"/>
    </font>
    <font>
      <i/>
      <sz val="9"/>
      <color rgb="FF60606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i/>
      <sz val="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344D6E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F0F0F0"/>
      </patternFill>
    </fill>
    <fill>
      <patternFill patternType="solid">
        <fgColor rgb="FFE2EFDA"/>
        <bgColor rgb="FFEEF5E6"/>
      </patternFill>
    </fill>
    <fill>
      <patternFill patternType="solid">
        <fgColor rgb="FFFFFFFF"/>
        <bgColor rgb="FFF8F8F8"/>
      </patternFill>
    </fill>
    <fill>
      <patternFill patternType="solid">
        <fgColor rgb="FFFDE9D9"/>
        <bgColor rgb="FFFFF2CC"/>
      </patternFill>
    </fill>
    <fill>
      <patternFill patternType="solid">
        <fgColor rgb="FFEAD1DC"/>
        <bgColor rgb="FFCCCCCC"/>
      </patternFill>
    </fill>
    <fill>
      <patternFill patternType="solid">
        <fgColor rgb="FFF0E6F5"/>
        <bgColor rgb="FFF0F0F0"/>
      </patternFill>
    </fill>
    <fill>
      <patternFill patternType="solid">
        <fgColor rgb="FFFFF2CC"/>
        <bgColor rgb="FFFDE9D9"/>
      </patternFill>
    </fill>
    <fill>
      <patternFill patternType="solid">
        <fgColor rgb="FF344D6E"/>
        <bgColor rgb="FF1F4E79"/>
      </patternFill>
    </fill>
    <fill>
      <patternFill patternType="solid">
        <fgColor rgb="FFEEF5E6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F8F8F8"/>
        <bgColor rgb="FFF2F2F2"/>
      </patternFill>
    </fill>
    <fill>
      <patternFill patternType="solid">
        <fgColor rgb="FFF0F0F0"/>
        <bgColor rgb="FFF2F2F2"/>
      </patternFill>
    </fill>
    <fill>
      <patternFill patternType="solid">
        <fgColor rgb="FFFFFF00"/>
        <bgColor rgb="FFFFF2C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4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4" fontId="5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11" borderId="2" xfId="0" applyFont="1" applyFill="1" applyBorder="1" applyAlignment="1">
      <alignment horizontal="center" vertical="center"/>
    </xf>
    <xf numFmtId="0" fontId="9" fillId="0" borderId="0" xfId="0" applyFont="1"/>
    <xf numFmtId="0" fontId="12" fillId="12" borderId="0" xfId="0" applyFont="1" applyFill="1" applyAlignment="1">
      <alignment horizontal="center" vertical="center" wrapText="1"/>
    </xf>
    <xf numFmtId="165" fontId="7" fillId="8" borderId="2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165" fontId="8" fillId="10" borderId="2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165" fontId="5" fillId="13" borderId="1" xfId="0" applyNumberFormat="1" applyFont="1" applyFill="1" applyBorder="1" applyAlignment="1">
      <alignment horizontal="center" vertical="center"/>
    </xf>
    <xf numFmtId="165" fontId="6" fillId="13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4" fontId="18" fillId="17" borderId="2" xfId="0" applyNumberFormat="1" applyFont="1" applyFill="1" applyBorder="1" applyAlignment="1">
      <alignment horizontal="center" vertical="center"/>
    </xf>
    <xf numFmtId="4" fontId="19" fillId="17" borderId="2" xfId="0" applyNumberFormat="1" applyFont="1" applyFill="1" applyBorder="1" applyAlignment="1">
      <alignment horizontal="center" vertical="center"/>
    </xf>
    <xf numFmtId="4" fontId="20" fillId="17" borderId="2" xfId="0" applyNumberFormat="1" applyFont="1" applyFill="1" applyBorder="1" applyAlignment="1">
      <alignment horizontal="center" vertical="center"/>
    </xf>
    <xf numFmtId="4" fontId="21" fillId="17" borderId="2" xfId="0" applyNumberFormat="1" applyFont="1" applyFill="1" applyBorder="1" applyAlignment="1">
      <alignment horizontal="center" vertical="center"/>
    </xf>
    <xf numFmtId="3" fontId="22" fillId="17" borderId="2" xfId="0" applyNumberFormat="1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/>
    </xf>
    <xf numFmtId="165" fontId="24" fillId="8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165" fontId="24" fillId="10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/>
    </xf>
    <xf numFmtId="165" fontId="24" fillId="1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164" fontId="5" fillId="1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25" fillId="5" borderId="3" xfId="0" applyFont="1" applyFill="1" applyBorder="1" applyAlignment="1">
      <alignment horizontal="left" vertical="center" wrapText="1"/>
    </xf>
    <xf numFmtId="0" fontId="25" fillId="7" borderId="3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left" vertical="center"/>
    </xf>
    <xf numFmtId="0" fontId="23" fillId="11" borderId="0" xfId="0" applyFont="1" applyFill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/>
    </xf>
    <xf numFmtId="4" fontId="5" fillId="10" borderId="5" xfId="0" applyNumberFormat="1" applyFont="1" applyFill="1" applyBorder="1" applyAlignment="1">
      <alignment horizontal="center" vertical="center"/>
    </xf>
    <xf numFmtId="164" fontId="5" fillId="10" borderId="5" xfId="0" applyNumberFormat="1" applyFont="1" applyFill="1" applyBorder="1" applyAlignment="1">
      <alignment horizontal="center" vertical="center"/>
    </xf>
    <xf numFmtId="165" fontId="5" fillId="10" borderId="5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0F0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EEF5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EFDA"/>
      <rgbColor rgb="FFFDE9D9"/>
      <rgbColor rgb="FFF0E6F5"/>
      <rgbColor rgb="FFF2F2F2"/>
      <rgbColor rgb="FFF8F8F8"/>
      <rgbColor rgb="FFEAD1DC"/>
      <rgbColor rgb="FF2E75B6"/>
      <rgbColor rgb="FF33CCCC"/>
      <rgbColor rgb="FF99CC00"/>
      <rgbColor rgb="FFFFCC00"/>
      <rgbColor rgb="FFFF9900"/>
      <rgbColor rgb="FFC55A11"/>
      <rgbColor rgb="FF606060"/>
      <rgbColor rgb="FF969696"/>
      <rgbColor rgb="FF1F4E79"/>
      <rgbColor rgb="FF339966"/>
      <rgbColor rgb="FF003300"/>
      <rgbColor rgb="FF375623"/>
      <rgbColor rgb="FF993300"/>
      <rgbColor rgb="FF993366"/>
      <rgbColor rgb="FF344D6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BA473-BE58-D74A-882C-0C98CCCF75E3}" name="Config" displayName="Config" ref="B1:E129" totalsRowShown="0" headerRowDxfId="20">
  <autoFilter ref="B1:E129" xr:uid="{54BBA473-BE58-D74A-882C-0C98CCCF75E3}"/>
  <tableColumns count="4">
    <tableColumn id="1" xr3:uid="{9C21D55F-6AC8-004D-A065-5812B9A916D7}" name="TIPOS DE INSTALACIÓN"/>
    <tableColumn id="2" xr3:uid="{EDE8C917-F951-FE45-8CB4-15E5E3307DFF}" name="CATEGORÍAS ISO 14064-1"/>
    <tableColumn id="3" xr3:uid="{76D68B65-8898-2B46-92E1-053CE52F27F3}" name="FUENTE DE EMISIÓN"/>
    <tableColumn id="4" xr3:uid="{103910D2-B2AD-0D40-ACC9-F39D25A13373}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BB96B-DCD3-7840-A4BE-4675236E8050}" name="Maestro_Obras" displayName="Maestro_Obras" ref="A3:O8" totalsRowShown="0" headerRowDxfId="2" dataDxfId="3" tableBorderDxfId="19">
  <autoFilter ref="A3:O8" xr:uid="{DA1BB96B-DCD3-7840-A4BE-4675236E8050}"/>
  <tableColumns count="15">
    <tableColumn id="1" xr3:uid="{3A7A8411-50D8-DF4D-88D6-8DA6E1AF5ACE}" name="ID" dataDxfId="18">
      <calculatedColumnFormula>IF(B4&lt;&gt;"",ROW()-3,"")</calculatedColumnFormula>
    </tableColumn>
    <tableColumn id="2" xr3:uid="{381ADEDE-5DEC-274D-A50A-4DD03417672D}" name="Código Interno" dataDxfId="17"/>
    <tableColumn id="3" xr3:uid="{E3900430-389F-9E43-9EC4-586F821866E1}" name="Nombre de Obra" dataDxfId="16"/>
    <tableColumn id="4" xr3:uid="{CA00F87C-A56D-4441-8F9F-BDB447C19BB4}" name="Tipo" dataDxfId="15"/>
    <tableColumn id="5" xr3:uid="{BBDE0760-2ED8-FD40-9795-8D646E2159C7}" name="Cliente" dataDxfId="14"/>
    <tableColumn id="6" xr3:uid="{D45E1781-2BE4-C446-869E-826A410F1844}" name="Departamento" dataDxfId="13"/>
    <tableColumn id="7" xr3:uid="{05039CA0-2388-C54D-AFFD-2693187C25D9}" name="Padrón / Dirección" dataDxfId="12"/>
    <tableColumn id="8" xr3:uid="{C615FF7A-FB76-9644-B7F0-ADE989979385}" name="Fecha Inicio" dataDxfId="11"/>
    <tableColumn id="9" xr3:uid="{48E35EDF-9B36-9F4D-8A56-E8418725EE5D}" name="Fecha Fin" dataDxfId="10"/>
    <tableColumn id="10" xr3:uid="{720D64C6-CE06-C448-954C-782DAE68969D}" name="Año Ejecución" dataDxfId="9"/>
    <tableColumn id="11" xr3:uid="{62514D22-E02B-E847-996D-C63B2281DB88}" name="N° Personas" dataDxfId="8"/>
    <tableColumn id="12" xr3:uid="{04D88B91-F384-9442-955C-6D9F0106A47E}" name="Modalidad" dataDxfId="7"/>
    <tableColumn id="13" xr3:uid="{91AAB7A3-B3EF-8A4C-8198-B711A0FB59B6}" name="Responsable Datos" dataDxfId="6"/>
    <tableColumn id="14" xr3:uid="{E4F110EE-E3B0-2F47-BD55-22F02E88A515}" name="Estado" dataDxfId="5"/>
    <tableColumn id="15" xr3:uid="{ECBC6297-2867-6540-8481-3CFCDD4DCC58}" name="Observacion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9BAF5-8D46-9142-9292-3E45E2C1111D}" name="Data" displayName="Data" ref="A3:S6" totalsRowShown="0" headerRowDxfId="0" tableBorderDxfId="1">
  <autoFilter ref="A3:S6" xr:uid="{8DC9BAF5-8D46-9142-9292-3E45E2C1111D}"/>
  <tableColumns count="19">
    <tableColumn id="1" xr3:uid="{8612B74C-BA50-1C47-8870-82B4B6F8C719}" name="ID_x000a_Registro">
      <calculatedColumnFormula>IF(F4&lt;&gt;"",ROW()-3,"")</calculatedColumnFormula>
    </tableColumn>
    <tableColumn id="2" xr3:uid="{14907F81-F92B-7D4F-9094-07921AB9EA95}" name="Año"/>
    <tableColumn id="3" xr3:uid="{2A50E58A-BCAA-714D-B0DE-2A961E4516B4}" name="Trimestre"/>
    <tableColumn id="4" xr3:uid="{70D71092-B42F-B740-817D-2A6284DE01C4}" name="Período_x000a_(Mes/Año)"/>
    <tableColumn id="5" xr3:uid="{96851048-9B69-9E40-8748-7C9C5F1778EE}" name="Código_x000a_Obra"/>
    <tableColumn id="6" xr3:uid="{B808D6D6-767F-B64D-8155-96524B67EC7A}" name="Nombre de Obra /_x000a_Instalación"/>
    <tableColumn id="7" xr3:uid="{BA7EA509-8F70-1446-BB50-33AB826A33F2}" name="Tipo de_x000a_Instalación"/>
    <tableColumn id="8" xr3:uid="{6D347FB2-24E7-F84F-A7FD-6EB7B766AEED}" name="Categoría ISO 14064-1_x000a_(Alcance)"/>
    <tableColumn id="9" xr3:uid="{2453876F-C6FF-3043-92C6-992BA90A4E66}" name="Fuente de Emisión"/>
    <tableColumn id="10" xr3:uid="{1D358B70-18BD-EC4E-9BF0-7D8FFE2830FE}" name="Actividad /_x000a_Detalle"/>
    <tableColumn id="11" xr3:uid="{94E065AE-F2B9-9549-8651-AC58F7718838}" name="Cantidad"/>
    <tableColumn id="12" xr3:uid="{9C594A16-4946-E943-857D-C753CD05BF88}" name="Unidad"/>
    <tableColumn id="13" xr3:uid="{D9691204-0F40-3540-9C9A-D3634CE8E912}" name="Factor de Emisión_x000a_(kg CO₂eq/unidad)"/>
    <tableColumn id="14" xr3:uid="{E52D710B-BC3A-9045-A60B-7676665AFDF6}" name="Emisiones_x000a_(t CO₂eq)">
      <calculatedColumnFormula>IF(K4*M4&lt;&gt;0,K4*M4/1000,"")</calculatedColumnFormula>
    </tableColumn>
    <tableColumn id="15" xr3:uid="{1730DACE-23E8-4440-A675-500B8D939A8E}" name="Referencia_x000a_Evidencia (Link Sharepoint)"/>
    <tableColumn id="16" xr3:uid="{229CED91-9A65-A44A-A8C7-FCF5A304DAB5}" name="Responsable_x000a_Carga"/>
    <tableColumn id="17" xr3:uid="{87FB7070-E063-7443-B252-58CB6B4AFB7A}" name="Fecha_x000a_Carga"/>
    <tableColumn id="18" xr3:uid="{68610332-C3EF-264C-AC21-86A7BF6DAC77}" name="Verificado_x000a_SGI"/>
    <tableColumn id="19" xr3:uid="{CA52B580-2280-764A-9B35-E081D512A05F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D30"/>
  <sheetViews>
    <sheetView showGridLines="0" zoomScaleNormal="100" workbookViewId="0">
      <selection activeCell="I17" sqref="I17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55" customWidth="1"/>
    <col min="4" max="4" width="20" customWidth="1"/>
  </cols>
  <sheetData>
    <row r="1" spans="2:4" ht="15" customHeight="1" x14ac:dyDescent="0.2"/>
    <row r="2" spans="2:4" ht="36" customHeight="1" x14ac:dyDescent="0.2">
      <c r="B2" s="75" t="s">
        <v>0</v>
      </c>
      <c r="C2" s="75"/>
      <c r="D2" s="75"/>
    </row>
    <row r="3" spans="2:4" ht="24" customHeight="1" x14ac:dyDescent="0.2">
      <c r="B3" s="76" t="s">
        <v>1</v>
      </c>
      <c r="C3" s="76"/>
      <c r="D3" s="76"/>
    </row>
    <row r="4" spans="2:4" ht="9.75" customHeight="1" x14ac:dyDescent="0.2"/>
    <row r="5" spans="2:4" ht="21.75" customHeight="1" x14ac:dyDescent="0.2">
      <c r="B5" s="77" t="s">
        <v>2</v>
      </c>
      <c r="C5" s="77"/>
      <c r="D5" s="77"/>
    </row>
    <row r="6" spans="2:4" ht="19.5" customHeight="1" x14ac:dyDescent="0.2">
      <c r="B6" s="3" t="s">
        <v>3</v>
      </c>
      <c r="C6" s="4" t="s">
        <v>4</v>
      </c>
    </row>
    <row r="7" spans="2:4" ht="19.5" customHeight="1" x14ac:dyDescent="0.2">
      <c r="B7" s="5" t="s">
        <v>5</v>
      </c>
      <c r="C7" s="6" t="s">
        <v>6</v>
      </c>
    </row>
    <row r="8" spans="2:4" ht="19.5" customHeight="1" x14ac:dyDescent="0.2">
      <c r="B8" s="3" t="s">
        <v>7</v>
      </c>
      <c r="C8" s="4" t="s">
        <v>8</v>
      </c>
    </row>
    <row r="9" spans="2:4" ht="19.5" customHeight="1" x14ac:dyDescent="0.2">
      <c r="B9" s="5" t="s">
        <v>9</v>
      </c>
      <c r="C9" s="6" t="s">
        <v>10</v>
      </c>
    </row>
    <row r="10" spans="2:4" ht="19.5" customHeight="1" x14ac:dyDescent="0.2">
      <c r="B10" s="3" t="s">
        <v>11</v>
      </c>
      <c r="C10" s="4" t="s">
        <v>12</v>
      </c>
    </row>
    <row r="11" spans="2:4" ht="19.5" customHeight="1" x14ac:dyDescent="0.2">
      <c r="B11" s="5" t="s">
        <v>13</v>
      </c>
      <c r="C11" s="6" t="s">
        <v>14</v>
      </c>
    </row>
    <row r="12" spans="2:4" ht="19.5" customHeight="1" x14ac:dyDescent="0.2">
      <c r="B12" s="3" t="s">
        <v>15</v>
      </c>
      <c r="C12" s="4" t="s">
        <v>16</v>
      </c>
    </row>
    <row r="14" spans="2:4" ht="9.75" customHeight="1" x14ac:dyDescent="0.2"/>
    <row r="15" spans="2:4" ht="21.75" customHeight="1" x14ac:dyDescent="0.2">
      <c r="B15" s="77" t="s">
        <v>17</v>
      </c>
      <c r="C15" s="77"/>
      <c r="D15" s="77"/>
    </row>
    <row r="16" spans="2:4" ht="36" customHeight="1" x14ac:dyDescent="0.2">
      <c r="B16" s="7" t="s">
        <v>18</v>
      </c>
      <c r="C16" s="8" t="s">
        <v>19</v>
      </c>
    </row>
    <row r="17" spans="2:4" ht="36" customHeight="1" x14ac:dyDescent="0.2">
      <c r="B17" s="9" t="s">
        <v>20</v>
      </c>
      <c r="C17" s="10" t="s">
        <v>21</v>
      </c>
    </row>
    <row r="18" spans="2:4" ht="36" customHeight="1" x14ac:dyDescent="0.2">
      <c r="B18" s="7" t="s">
        <v>22</v>
      </c>
      <c r="C18" s="8" t="s">
        <v>23</v>
      </c>
    </row>
    <row r="19" spans="2:4" ht="36" customHeight="1" x14ac:dyDescent="0.2">
      <c r="B19" s="9" t="s">
        <v>24</v>
      </c>
      <c r="C19" s="10" t="s">
        <v>25</v>
      </c>
    </row>
    <row r="20" spans="2:4" ht="36" customHeight="1" x14ac:dyDescent="0.2">
      <c r="B20" s="7" t="s">
        <v>26</v>
      </c>
      <c r="C20" s="8" t="s">
        <v>27</v>
      </c>
    </row>
    <row r="21" spans="2:4" ht="36" customHeight="1" x14ac:dyDescent="0.2">
      <c r="B21" s="9" t="s">
        <v>28</v>
      </c>
      <c r="C21" s="10" t="s">
        <v>29</v>
      </c>
    </row>
    <row r="23" spans="2:4" ht="9.75" customHeight="1" x14ac:dyDescent="0.2"/>
    <row r="24" spans="2:4" ht="21.75" customHeight="1" x14ac:dyDescent="0.2">
      <c r="B24" s="77" t="s">
        <v>30</v>
      </c>
      <c r="C24" s="77"/>
      <c r="D24" s="77"/>
    </row>
    <row r="25" spans="2:4" ht="27.75" customHeight="1" x14ac:dyDescent="0.2">
      <c r="B25" s="11" t="s">
        <v>31</v>
      </c>
      <c r="C25" s="12" t="s">
        <v>32</v>
      </c>
    </row>
    <row r="26" spans="2:4" ht="27.75" customHeight="1" x14ac:dyDescent="0.2">
      <c r="B26" s="13" t="s">
        <v>33</v>
      </c>
      <c r="C26" s="14" t="s">
        <v>34</v>
      </c>
    </row>
    <row r="27" spans="2:4" ht="27.75" customHeight="1" x14ac:dyDescent="0.2">
      <c r="B27" s="15" t="s">
        <v>35</v>
      </c>
      <c r="C27" s="8" t="s">
        <v>36</v>
      </c>
    </row>
    <row r="29" spans="2:4" ht="9.75" customHeight="1" x14ac:dyDescent="0.2"/>
    <row r="30" spans="2:4" ht="18" customHeight="1" x14ac:dyDescent="0.2">
      <c r="B30" s="74" t="s">
        <v>37</v>
      </c>
      <c r="C30" s="74"/>
      <c r="D30" s="74"/>
    </row>
  </sheetData>
  <mergeCells count="6">
    <mergeCell ref="B30:D30"/>
    <mergeCell ref="B2:D2"/>
    <mergeCell ref="B3:D3"/>
    <mergeCell ref="B5:D5"/>
    <mergeCell ref="B15:D15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B1:K129"/>
  <sheetViews>
    <sheetView showGridLines="0" zoomScale="140" zoomScaleNormal="140" workbookViewId="0">
      <selection activeCell="K14" sqref="K14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50" customWidth="1"/>
    <col min="4" max="4" width="36" customWidth="1"/>
    <col min="5" max="5" width="14" customWidth="1"/>
    <col min="11" max="11" width="26.83203125" bestFit="1" customWidth="1"/>
  </cols>
  <sheetData>
    <row r="1" spans="2:11" ht="15" customHeight="1" x14ac:dyDescent="0.2">
      <c r="B1" s="2" t="s">
        <v>38</v>
      </c>
      <c r="C1" s="2" t="s">
        <v>39</v>
      </c>
      <c r="D1" s="2" t="s">
        <v>40</v>
      </c>
      <c r="E1" s="2" t="s">
        <v>41</v>
      </c>
      <c r="K1" s="89" t="str">
        <f>+B1</f>
        <v>TIPOS DE INSTALACIÓN</v>
      </c>
    </row>
    <row r="2" spans="2:11" ht="15" customHeight="1" x14ac:dyDescent="0.2">
      <c r="B2" s="16" t="s">
        <v>42</v>
      </c>
      <c r="C2" s="16" t="s">
        <v>43</v>
      </c>
      <c r="D2" t="s">
        <v>44</v>
      </c>
      <c r="E2" t="s">
        <v>45</v>
      </c>
      <c r="K2" t="str" cm="1">
        <f t="array" ref="K2:K8">+_xlfn.UNIQUE(Config[TIPOS DE INSTALACIÓN])</f>
        <v>Vial</v>
      </c>
    </row>
    <row r="3" spans="2:11" ht="15" customHeight="1" x14ac:dyDescent="0.2">
      <c r="B3" s="16" t="s">
        <v>42</v>
      </c>
      <c r="C3" s="16" t="s">
        <v>43</v>
      </c>
      <c r="D3" t="s">
        <v>46</v>
      </c>
      <c r="E3" t="s">
        <v>45</v>
      </c>
      <c r="K3" t="str">
        <v>Estructural</v>
      </c>
    </row>
    <row r="4" spans="2:11" ht="15" customHeight="1" x14ac:dyDescent="0.2">
      <c r="B4" s="16" t="s">
        <v>42</v>
      </c>
      <c r="C4" s="16" t="s">
        <v>43</v>
      </c>
      <c r="D4" t="s">
        <v>47</v>
      </c>
      <c r="E4" t="s">
        <v>45</v>
      </c>
      <c r="K4" t="str">
        <v>Hidráulica</v>
      </c>
    </row>
    <row r="5" spans="2:11" ht="15" customHeight="1" x14ac:dyDescent="0.2">
      <c r="B5" s="16" t="s">
        <v>42</v>
      </c>
      <c r="C5" s="16" t="s">
        <v>43</v>
      </c>
      <c r="D5" t="s">
        <v>48</v>
      </c>
      <c r="E5" t="s">
        <v>45</v>
      </c>
      <c r="K5" t="str">
        <v>Arquitectura</v>
      </c>
    </row>
    <row r="6" spans="2:11" ht="15" customHeight="1" x14ac:dyDescent="0.2">
      <c r="B6" s="16" t="s">
        <v>42</v>
      </c>
      <c r="C6" s="16" t="s">
        <v>43</v>
      </c>
      <c r="D6" t="s">
        <v>49</v>
      </c>
      <c r="E6" t="s">
        <v>50</v>
      </c>
      <c r="K6" t="str">
        <v>Oficina Central</v>
      </c>
    </row>
    <row r="7" spans="2:11" ht="15" customHeight="1" x14ac:dyDescent="0.2">
      <c r="B7" s="16" t="s">
        <v>42</v>
      </c>
      <c r="C7" t="s">
        <v>43</v>
      </c>
      <c r="D7" t="s">
        <v>51</v>
      </c>
      <c r="E7" t="s">
        <v>52</v>
      </c>
      <c r="K7" t="str">
        <v>Centro Logístico (Taller/Depósito)</v>
      </c>
    </row>
    <row r="8" spans="2:11" ht="15" customHeight="1" x14ac:dyDescent="0.2">
      <c r="B8" s="16" t="s">
        <v>42</v>
      </c>
      <c r="C8" t="s">
        <v>43</v>
      </c>
      <c r="D8" t="s">
        <v>53</v>
      </c>
      <c r="E8" t="s">
        <v>52</v>
      </c>
      <c r="K8" t="str">
        <v>Planta de Hormigón Fija</v>
      </c>
    </row>
    <row r="9" spans="2:11" ht="15" customHeight="1" x14ac:dyDescent="0.2">
      <c r="B9" t="s">
        <v>42</v>
      </c>
      <c r="C9" t="s">
        <v>54</v>
      </c>
      <c r="D9" t="s">
        <v>55</v>
      </c>
      <c r="E9" t="s">
        <v>56</v>
      </c>
    </row>
    <row r="10" spans="2:11" ht="15" customHeight="1" x14ac:dyDescent="0.2">
      <c r="B10" t="s">
        <v>42</v>
      </c>
      <c r="C10" t="s">
        <v>57</v>
      </c>
      <c r="D10" t="s">
        <v>58</v>
      </c>
      <c r="E10" t="s">
        <v>59</v>
      </c>
    </row>
    <row r="11" spans="2:11" ht="15" customHeight="1" x14ac:dyDescent="0.2">
      <c r="B11" t="s">
        <v>42</v>
      </c>
      <c r="C11" t="s">
        <v>57</v>
      </c>
      <c r="D11" t="s">
        <v>60</v>
      </c>
      <c r="E11" t="s">
        <v>59</v>
      </c>
    </row>
    <row r="12" spans="2:11" ht="15" customHeight="1" x14ac:dyDescent="0.2">
      <c r="B12" t="s">
        <v>42</v>
      </c>
      <c r="C12" t="s">
        <v>57</v>
      </c>
      <c r="D12" t="s">
        <v>61</v>
      </c>
      <c r="E12" t="s">
        <v>59</v>
      </c>
    </row>
    <row r="13" spans="2:11" ht="15" customHeight="1" x14ac:dyDescent="0.2">
      <c r="B13" t="s">
        <v>42</v>
      </c>
      <c r="C13" t="s">
        <v>62</v>
      </c>
      <c r="D13" t="s">
        <v>63</v>
      </c>
      <c r="E13" t="s">
        <v>64</v>
      </c>
    </row>
    <row r="14" spans="2:11" ht="15" customHeight="1" x14ac:dyDescent="0.2">
      <c r="B14" t="s">
        <v>42</v>
      </c>
      <c r="C14" t="s">
        <v>62</v>
      </c>
      <c r="D14" t="s">
        <v>65</v>
      </c>
      <c r="E14" t="s">
        <v>64</v>
      </c>
    </row>
    <row r="15" spans="2:11" ht="15" customHeight="1" x14ac:dyDescent="0.2">
      <c r="B15" t="s">
        <v>42</v>
      </c>
      <c r="C15" t="s">
        <v>62</v>
      </c>
      <c r="D15" t="s">
        <v>66</v>
      </c>
      <c r="E15" t="s">
        <v>64</v>
      </c>
    </row>
    <row r="16" spans="2:11" ht="15" customHeight="1" x14ac:dyDescent="0.2">
      <c r="B16" t="s">
        <v>42</v>
      </c>
      <c r="C16" t="s">
        <v>62</v>
      </c>
      <c r="D16" t="s">
        <v>67</v>
      </c>
      <c r="E16" t="s">
        <v>64</v>
      </c>
    </row>
    <row r="17" spans="2:5" ht="15" customHeight="1" x14ac:dyDescent="0.2">
      <c r="B17" t="s">
        <v>42</v>
      </c>
      <c r="C17" t="s">
        <v>62</v>
      </c>
      <c r="D17" t="s">
        <v>68</v>
      </c>
      <c r="E17" t="s">
        <v>64</v>
      </c>
    </row>
    <row r="18" spans="2:5" ht="15" customHeight="1" x14ac:dyDescent="0.2">
      <c r="B18" t="s">
        <v>42</v>
      </c>
      <c r="C18" t="s">
        <v>62</v>
      </c>
      <c r="D18" t="s">
        <v>69</v>
      </c>
      <c r="E18" t="s">
        <v>64</v>
      </c>
    </row>
    <row r="19" spans="2:5" ht="15" customHeight="1" x14ac:dyDescent="0.2">
      <c r="B19" t="s">
        <v>42</v>
      </c>
      <c r="C19" t="s">
        <v>62</v>
      </c>
      <c r="D19" t="s">
        <v>70</v>
      </c>
      <c r="E19" t="s">
        <v>52</v>
      </c>
    </row>
    <row r="20" spans="2:5" ht="15" customHeight="1" x14ac:dyDescent="0.2">
      <c r="B20" t="s">
        <v>42</v>
      </c>
      <c r="C20" t="s">
        <v>62</v>
      </c>
      <c r="D20" t="s">
        <v>71</v>
      </c>
      <c r="E20" t="s">
        <v>52</v>
      </c>
    </row>
    <row r="21" spans="2:5" ht="15" customHeight="1" x14ac:dyDescent="0.2">
      <c r="B21" t="s">
        <v>42</v>
      </c>
      <c r="C21" t="s">
        <v>62</v>
      </c>
      <c r="D21" t="s">
        <v>72</v>
      </c>
      <c r="E21" t="s">
        <v>52</v>
      </c>
    </row>
    <row r="22" spans="2:5" ht="15" customHeight="1" x14ac:dyDescent="0.2">
      <c r="B22" t="s">
        <v>42</v>
      </c>
      <c r="C22" t="s">
        <v>62</v>
      </c>
      <c r="D22" t="s">
        <v>73</v>
      </c>
      <c r="E22" t="s">
        <v>45</v>
      </c>
    </row>
    <row r="23" spans="2:5" ht="15" customHeight="1" x14ac:dyDescent="0.2">
      <c r="B23" t="s">
        <v>42</v>
      </c>
      <c r="C23" t="s">
        <v>62</v>
      </c>
      <c r="D23" t="s">
        <v>74</v>
      </c>
      <c r="E23" t="s">
        <v>64</v>
      </c>
    </row>
    <row r="24" spans="2:5" ht="15" customHeight="1" x14ac:dyDescent="0.2">
      <c r="B24" t="s">
        <v>42</v>
      </c>
      <c r="C24" t="s">
        <v>62</v>
      </c>
      <c r="D24" t="s">
        <v>75</v>
      </c>
      <c r="E24" t="s">
        <v>64</v>
      </c>
    </row>
    <row r="25" spans="2:5" ht="15" customHeight="1" x14ac:dyDescent="0.2">
      <c r="B25" t="s">
        <v>42</v>
      </c>
      <c r="C25" t="s">
        <v>62</v>
      </c>
      <c r="D25" t="s">
        <v>76</v>
      </c>
      <c r="E25" t="s">
        <v>64</v>
      </c>
    </row>
    <row r="26" spans="2:5" ht="15" customHeight="1" x14ac:dyDescent="0.2">
      <c r="B26" t="s">
        <v>42</v>
      </c>
      <c r="C26" t="s">
        <v>62</v>
      </c>
      <c r="D26" t="s">
        <v>77</v>
      </c>
      <c r="E26" t="s">
        <v>64</v>
      </c>
    </row>
    <row r="27" spans="2:5" ht="15" customHeight="1" x14ac:dyDescent="0.2">
      <c r="B27" t="s">
        <v>42</v>
      </c>
      <c r="C27" t="s">
        <v>62</v>
      </c>
      <c r="D27" t="s">
        <v>78</v>
      </c>
      <c r="E27" t="s">
        <v>79</v>
      </c>
    </row>
    <row r="28" spans="2:5" ht="15" customHeight="1" x14ac:dyDescent="0.2">
      <c r="B28" t="s">
        <v>42</v>
      </c>
      <c r="C28" t="s">
        <v>62</v>
      </c>
      <c r="D28" t="s">
        <v>80</v>
      </c>
      <c r="E28" t="s">
        <v>45</v>
      </c>
    </row>
    <row r="29" spans="2:5" ht="15" customHeight="1" x14ac:dyDescent="0.2">
      <c r="B29" t="s">
        <v>42</v>
      </c>
      <c r="C29" t="s">
        <v>62</v>
      </c>
      <c r="D29" t="s">
        <v>81</v>
      </c>
      <c r="E29" t="s">
        <v>45</v>
      </c>
    </row>
    <row r="30" spans="2:5" ht="15" customHeight="1" x14ac:dyDescent="0.2">
      <c r="B30" t="s">
        <v>42</v>
      </c>
      <c r="C30" t="s">
        <v>82</v>
      </c>
      <c r="D30" t="s">
        <v>83</v>
      </c>
      <c r="E30" t="s">
        <v>64</v>
      </c>
    </row>
    <row r="31" spans="2:5" ht="15" customHeight="1" x14ac:dyDescent="0.2">
      <c r="B31" t="s">
        <v>42</v>
      </c>
      <c r="C31" t="s">
        <v>82</v>
      </c>
      <c r="D31" t="s">
        <v>84</v>
      </c>
      <c r="E31" t="s">
        <v>79</v>
      </c>
    </row>
    <row r="32" spans="2:5" ht="15" customHeight="1" x14ac:dyDescent="0.2">
      <c r="B32" t="s">
        <v>85</v>
      </c>
      <c r="C32" t="s">
        <v>43</v>
      </c>
      <c r="D32" t="s">
        <v>44</v>
      </c>
      <c r="E32" t="s">
        <v>45</v>
      </c>
    </row>
    <row r="33" spans="2:5" ht="15" customHeight="1" x14ac:dyDescent="0.2">
      <c r="B33" t="s">
        <v>85</v>
      </c>
      <c r="C33" t="s">
        <v>43</v>
      </c>
      <c r="D33" t="s">
        <v>46</v>
      </c>
      <c r="E33" t="s">
        <v>45</v>
      </c>
    </row>
    <row r="34" spans="2:5" ht="15" customHeight="1" x14ac:dyDescent="0.2">
      <c r="B34" t="s">
        <v>85</v>
      </c>
      <c r="C34" t="s">
        <v>43</v>
      </c>
      <c r="D34" t="s">
        <v>47</v>
      </c>
      <c r="E34" t="s">
        <v>45</v>
      </c>
    </row>
    <row r="35" spans="2:5" ht="15" customHeight="1" x14ac:dyDescent="0.2">
      <c r="B35" t="s">
        <v>85</v>
      </c>
      <c r="C35" t="s">
        <v>43</v>
      </c>
      <c r="D35" t="s">
        <v>51</v>
      </c>
      <c r="E35" t="s">
        <v>52</v>
      </c>
    </row>
    <row r="36" spans="2:5" ht="15" customHeight="1" x14ac:dyDescent="0.2">
      <c r="B36" t="s">
        <v>85</v>
      </c>
      <c r="C36" t="s">
        <v>43</v>
      </c>
      <c r="D36" t="s">
        <v>53</v>
      </c>
      <c r="E36" t="s">
        <v>52</v>
      </c>
    </row>
    <row r="37" spans="2:5" ht="15" customHeight="1" x14ac:dyDescent="0.2">
      <c r="B37" t="s">
        <v>85</v>
      </c>
      <c r="C37" t="s">
        <v>54</v>
      </c>
      <c r="D37" t="s">
        <v>55</v>
      </c>
      <c r="E37" t="s">
        <v>56</v>
      </c>
    </row>
    <row r="38" spans="2:5" ht="15" customHeight="1" x14ac:dyDescent="0.2">
      <c r="B38" t="s">
        <v>85</v>
      </c>
      <c r="C38" t="s">
        <v>57</v>
      </c>
      <c r="D38" t="s">
        <v>58</v>
      </c>
      <c r="E38" t="s">
        <v>59</v>
      </c>
    </row>
    <row r="39" spans="2:5" ht="15" customHeight="1" x14ac:dyDescent="0.2">
      <c r="B39" t="s">
        <v>85</v>
      </c>
      <c r="C39" t="s">
        <v>57</v>
      </c>
      <c r="D39" t="s">
        <v>60</v>
      </c>
      <c r="E39" t="s">
        <v>59</v>
      </c>
    </row>
    <row r="40" spans="2:5" ht="15" customHeight="1" x14ac:dyDescent="0.2">
      <c r="B40" t="s">
        <v>85</v>
      </c>
      <c r="C40" t="s">
        <v>57</v>
      </c>
      <c r="D40" t="s">
        <v>61</v>
      </c>
      <c r="E40" t="s">
        <v>59</v>
      </c>
    </row>
    <row r="41" spans="2:5" ht="15" customHeight="1" x14ac:dyDescent="0.2">
      <c r="B41" t="s">
        <v>85</v>
      </c>
      <c r="C41" t="s">
        <v>62</v>
      </c>
      <c r="D41" t="s">
        <v>68</v>
      </c>
      <c r="E41" t="s">
        <v>64</v>
      </c>
    </row>
    <row r="42" spans="2:5" ht="15" customHeight="1" x14ac:dyDescent="0.2">
      <c r="B42" t="s">
        <v>85</v>
      </c>
      <c r="C42" t="s">
        <v>62</v>
      </c>
      <c r="D42" t="s">
        <v>86</v>
      </c>
      <c r="E42" t="s">
        <v>79</v>
      </c>
    </row>
    <row r="43" spans="2:5" ht="15" customHeight="1" x14ac:dyDescent="0.2">
      <c r="B43" t="s">
        <v>85</v>
      </c>
      <c r="C43" t="s">
        <v>62</v>
      </c>
      <c r="D43" t="s">
        <v>87</v>
      </c>
      <c r="E43" t="s">
        <v>64</v>
      </c>
    </row>
    <row r="44" spans="2:5" ht="15" customHeight="1" x14ac:dyDescent="0.2">
      <c r="B44" t="s">
        <v>85</v>
      </c>
      <c r="C44" t="s">
        <v>62</v>
      </c>
      <c r="D44" t="s">
        <v>88</v>
      </c>
      <c r="E44" t="s">
        <v>64</v>
      </c>
    </row>
    <row r="45" spans="2:5" ht="15" customHeight="1" x14ac:dyDescent="0.2">
      <c r="B45" t="s">
        <v>85</v>
      </c>
      <c r="C45" t="s">
        <v>62</v>
      </c>
      <c r="D45" t="s">
        <v>77</v>
      </c>
      <c r="E45" t="s">
        <v>64</v>
      </c>
    </row>
    <row r="46" spans="2:5" ht="15" customHeight="1" x14ac:dyDescent="0.2">
      <c r="B46" t="s">
        <v>85</v>
      </c>
      <c r="C46" t="s">
        <v>62</v>
      </c>
      <c r="D46" t="s">
        <v>76</v>
      </c>
      <c r="E46" t="s">
        <v>64</v>
      </c>
    </row>
    <row r="47" spans="2:5" ht="15" customHeight="1" x14ac:dyDescent="0.2">
      <c r="B47" t="s">
        <v>85</v>
      </c>
      <c r="C47" t="s">
        <v>62</v>
      </c>
      <c r="D47" t="s">
        <v>69</v>
      </c>
      <c r="E47" t="s">
        <v>64</v>
      </c>
    </row>
    <row r="48" spans="2:5" ht="15" customHeight="1" x14ac:dyDescent="0.2">
      <c r="B48" t="s">
        <v>85</v>
      </c>
      <c r="C48" t="s">
        <v>62</v>
      </c>
      <c r="D48" t="s">
        <v>70</v>
      </c>
      <c r="E48" t="s">
        <v>52</v>
      </c>
    </row>
    <row r="49" spans="2:5" ht="15" customHeight="1" x14ac:dyDescent="0.2">
      <c r="B49" t="s">
        <v>85</v>
      </c>
      <c r="C49" t="s">
        <v>62</v>
      </c>
      <c r="D49" t="s">
        <v>89</v>
      </c>
      <c r="E49" t="s">
        <v>52</v>
      </c>
    </row>
    <row r="50" spans="2:5" ht="15" customHeight="1" x14ac:dyDescent="0.2">
      <c r="B50" t="s">
        <v>85</v>
      </c>
      <c r="C50" t="s">
        <v>62</v>
      </c>
      <c r="D50" t="s">
        <v>90</v>
      </c>
      <c r="E50" t="s">
        <v>45</v>
      </c>
    </row>
    <row r="51" spans="2:5" ht="15" customHeight="1" x14ac:dyDescent="0.2">
      <c r="B51" t="s">
        <v>85</v>
      </c>
      <c r="C51" t="s">
        <v>62</v>
      </c>
      <c r="D51" t="s">
        <v>78</v>
      </c>
      <c r="E51" t="s">
        <v>79</v>
      </c>
    </row>
    <row r="52" spans="2:5" ht="15" customHeight="1" x14ac:dyDescent="0.2">
      <c r="B52" t="s">
        <v>85</v>
      </c>
      <c r="C52" t="s">
        <v>82</v>
      </c>
      <c r="D52" t="s">
        <v>83</v>
      </c>
      <c r="E52" t="s">
        <v>64</v>
      </c>
    </row>
    <row r="53" spans="2:5" ht="15" customHeight="1" x14ac:dyDescent="0.2">
      <c r="B53" t="s">
        <v>85</v>
      </c>
      <c r="C53" t="s">
        <v>82</v>
      </c>
      <c r="D53" t="s">
        <v>84</v>
      </c>
      <c r="E53" t="s">
        <v>79</v>
      </c>
    </row>
    <row r="54" spans="2:5" ht="15" customHeight="1" x14ac:dyDescent="0.2">
      <c r="B54" t="s">
        <v>91</v>
      </c>
      <c r="C54" t="s">
        <v>43</v>
      </c>
      <c r="D54" t="s">
        <v>44</v>
      </c>
      <c r="E54" t="s">
        <v>45</v>
      </c>
    </row>
    <row r="55" spans="2:5" ht="15" customHeight="1" x14ac:dyDescent="0.2">
      <c r="B55" t="s">
        <v>91</v>
      </c>
      <c r="C55" t="s">
        <v>43</v>
      </c>
      <c r="D55" t="s">
        <v>46</v>
      </c>
      <c r="E55" t="s">
        <v>45</v>
      </c>
    </row>
    <row r="56" spans="2:5" ht="15" customHeight="1" x14ac:dyDescent="0.2">
      <c r="B56" t="s">
        <v>91</v>
      </c>
      <c r="C56" t="s">
        <v>43</v>
      </c>
      <c r="D56" t="s">
        <v>47</v>
      </c>
      <c r="E56" t="s">
        <v>45</v>
      </c>
    </row>
    <row r="57" spans="2:5" ht="15" customHeight="1" x14ac:dyDescent="0.2">
      <c r="B57" t="s">
        <v>91</v>
      </c>
      <c r="C57" t="s">
        <v>43</v>
      </c>
      <c r="D57" t="s">
        <v>51</v>
      </c>
      <c r="E57" t="s">
        <v>52</v>
      </c>
    </row>
    <row r="58" spans="2:5" ht="15" customHeight="1" x14ac:dyDescent="0.2">
      <c r="B58" t="s">
        <v>91</v>
      </c>
      <c r="C58" t="s">
        <v>43</v>
      </c>
      <c r="D58" t="s">
        <v>53</v>
      </c>
      <c r="E58" t="s">
        <v>52</v>
      </c>
    </row>
    <row r="59" spans="2:5" ht="15" customHeight="1" x14ac:dyDescent="0.2">
      <c r="B59" t="s">
        <v>91</v>
      </c>
      <c r="C59" t="s">
        <v>54</v>
      </c>
      <c r="D59" t="s">
        <v>55</v>
      </c>
      <c r="E59" t="s">
        <v>56</v>
      </c>
    </row>
    <row r="60" spans="2:5" ht="15" customHeight="1" x14ac:dyDescent="0.2">
      <c r="B60" t="s">
        <v>91</v>
      </c>
      <c r="C60" t="s">
        <v>57</v>
      </c>
      <c r="D60" t="s">
        <v>58</v>
      </c>
      <c r="E60" t="s">
        <v>59</v>
      </c>
    </row>
    <row r="61" spans="2:5" ht="15" customHeight="1" x14ac:dyDescent="0.2">
      <c r="B61" t="s">
        <v>91</v>
      </c>
      <c r="C61" t="s">
        <v>57</v>
      </c>
      <c r="D61" t="s">
        <v>60</v>
      </c>
      <c r="E61" t="s">
        <v>59</v>
      </c>
    </row>
    <row r="62" spans="2:5" ht="15" customHeight="1" x14ac:dyDescent="0.2">
      <c r="B62" t="s">
        <v>91</v>
      </c>
      <c r="C62" t="s">
        <v>57</v>
      </c>
      <c r="D62" t="s">
        <v>61</v>
      </c>
      <c r="E62" t="s">
        <v>59</v>
      </c>
    </row>
    <row r="63" spans="2:5" ht="15" customHeight="1" x14ac:dyDescent="0.2">
      <c r="B63" t="s">
        <v>91</v>
      </c>
      <c r="C63" t="s">
        <v>62</v>
      </c>
      <c r="D63" t="s">
        <v>68</v>
      </c>
      <c r="E63" t="s">
        <v>64</v>
      </c>
    </row>
    <row r="64" spans="2:5" ht="15" customHeight="1" x14ac:dyDescent="0.2">
      <c r="B64" t="s">
        <v>91</v>
      </c>
      <c r="C64" t="s">
        <v>62</v>
      </c>
      <c r="D64" t="s">
        <v>86</v>
      </c>
      <c r="E64" t="s">
        <v>79</v>
      </c>
    </row>
    <row r="65" spans="2:5" ht="15" customHeight="1" x14ac:dyDescent="0.2">
      <c r="B65" t="s">
        <v>91</v>
      </c>
      <c r="C65" t="s">
        <v>62</v>
      </c>
      <c r="D65" t="s">
        <v>87</v>
      </c>
      <c r="E65" t="s">
        <v>64</v>
      </c>
    </row>
    <row r="66" spans="2:5" ht="15" customHeight="1" x14ac:dyDescent="0.2">
      <c r="B66" t="s">
        <v>91</v>
      </c>
      <c r="C66" t="s">
        <v>62</v>
      </c>
      <c r="D66" t="s">
        <v>92</v>
      </c>
      <c r="E66" t="s">
        <v>52</v>
      </c>
    </row>
    <row r="67" spans="2:5" ht="15" customHeight="1" x14ac:dyDescent="0.2">
      <c r="B67" t="s">
        <v>91</v>
      </c>
      <c r="C67" t="s">
        <v>62</v>
      </c>
      <c r="D67" t="s">
        <v>93</v>
      </c>
      <c r="E67" t="s">
        <v>52</v>
      </c>
    </row>
    <row r="68" spans="2:5" ht="15" customHeight="1" x14ac:dyDescent="0.2">
      <c r="B68" t="s">
        <v>91</v>
      </c>
      <c r="C68" t="s">
        <v>62</v>
      </c>
      <c r="D68" t="s">
        <v>94</v>
      </c>
      <c r="E68" t="s">
        <v>64</v>
      </c>
    </row>
    <row r="69" spans="2:5" ht="15" customHeight="1" x14ac:dyDescent="0.2">
      <c r="B69" t="s">
        <v>91</v>
      </c>
      <c r="C69" t="s">
        <v>62</v>
      </c>
      <c r="D69" t="s">
        <v>95</v>
      </c>
      <c r="E69" t="s">
        <v>52</v>
      </c>
    </row>
    <row r="70" spans="2:5" ht="15" customHeight="1" x14ac:dyDescent="0.2">
      <c r="B70" t="s">
        <v>91</v>
      </c>
      <c r="C70" t="s">
        <v>62</v>
      </c>
      <c r="D70" t="s">
        <v>96</v>
      </c>
      <c r="E70" t="s">
        <v>64</v>
      </c>
    </row>
    <row r="71" spans="2:5" ht="15" customHeight="1" x14ac:dyDescent="0.2">
      <c r="B71" t="s">
        <v>91</v>
      </c>
      <c r="C71" t="s">
        <v>62</v>
      </c>
      <c r="D71" t="s">
        <v>78</v>
      </c>
      <c r="E71" t="s">
        <v>79</v>
      </c>
    </row>
    <row r="72" spans="2:5" ht="15" customHeight="1" x14ac:dyDescent="0.2">
      <c r="B72" t="s">
        <v>91</v>
      </c>
      <c r="C72" t="s">
        <v>82</v>
      </c>
      <c r="D72" t="s">
        <v>83</v>
      </c>
      <c r="E72" t="s">
        <v>64</v>
      </c>
    </row>
    <row r="73" spans="2:5" ht="15" customHeight="1" x14ac:dyDescent="0.2">
      <c r="B73" t="s">
        <v>91</v>
      </c>
      <c r="C73" t="s">
        <v>82</v>
      </c>
      <c r="D73" t="s">
        <v>84</v>
      </c>
      <c r="E73" t="s">
        <v>79</v>
      </c>
    </row>
    <row r="74" spans="2:5" ht="15" customHeight="1" x14ac:dyDescent="0.2">
      <c r="B74" t="s">
        <v>97</v>
      </c>
      <c r="C74" t="s">
        <v>43</v>
      </c>
      <c r="D74" t="s">
        <v>44</v>
      </c>
      <c r="E74" t="s">
        <v>45</v>
      </c>
    </row>
    <row r="75" spans="2:5" ht="15" customHeight="1" x14ac:dyDescent="0.2">
      <c r="B75" t="s">
        <v>97</v>
      </c>
      <c r="C75" t="s">
        <v>43</v>
      </c>
      <c r="D75" t="s">
        <v>46</v>
      </c>
      <c r="E75" t="s">
        <v>45</v>
      </c>
    </row>
    <row r="76" spans="2:5" ht="15" customHeight="1" x14ac:dyDescent="0.2">
      <c r="B76" t="s">
        <v>97</v>
      </c>
      <c r="C76" t="s">
        <v>43</v>
      </c>
      <c r="D76" t="s">
        <v>47</v>
      </c>
      <c r="E76" t="s">
        <v>45</v>
      </c>
    </row>
    <row r="77" spans="2:5" ht="15" customHeight="1" x14ac:dyDescent="0.2">
      <c r="B77" t="s">
        <v>97</v>
      </c>
      <c r="C77" t="s">
        <v>43</v>
      </c>
      <c r="D77" t="s">
        <v>51</v>
      </c>
      <c r="E77" t="s">
        <v>52</v>
      </c>
    </row>
    <row r="78" spans="2:5" ht="15" customHeight="1" x14ac:dyDescent="0.2">
      <c r="B78" t="s">
        <v>97</v>
      </c>
      <c r="C78" t="s">
        <v>43</v>
      </c>
      <c r="D78" t="s">
        <v>53</v>
      </c>
      <c r="E78" t="s">
        <v>52</v>
      </c>
    </row>
    <row r="79" spans="2:5" ht="15" customHeight="1" x14ac:dyDescent="0.2">
      <c r="B79" t="s">
        <v>97</v>
      </c>
      <c r="C79" t="s">
        <v>54</v>
      </c>
      <c r="D79" t="s">
        <v>55</v>
      </c>
      <c r="E79" t="s">
        <v>56</v>
      </c>
    </row>
    <row r="80" spans="2:5" ht="15" customHeight="1" x14ac:dyDescent="0.2">
      <c r="B80" t="s">
        <v>97</v>
      </c>
      <c r="C80" t="s">
        <v>57</v>
      </c>
      <c r="D80" t="s">
        <v>58</v>
      </c>
      <c r="E80" t="s">
        <v>59</v>
      </c>
    </row>
    <row r="81" spans="2:5" ht="15" customHeight="1" x14ac:dyDescent="0.2">
      <c r="B81" t="s">
        <v>97</v>
      </c>
      <c r="C81" t="s">
        <v>57</v>
      </c>
      <c r="D81" t="s">
        <v>60</v>
      </c>
      <c r="E81" t="s">
        <v>59</v>
      </c>
    </row>
    <row r="82" spans="2:5" ht="15" customHeight="1" x14ac:dyDescent="0.2">
      <c r="B82" t="s">
        <v>97</v>
      </c>
      <c r="C82" t="s">
        <v>57</v>
      </c>
      <c r="D82" t="s">
        <v>61</v>
      </c>
      <c r="E82" t="s">
        <v>59</v>
      </c>
    </row>
    <row r="83" spans="2:5" ht="15" customHeight="1" x14ac:dyDescent="0.2">
      <c r="B83" t="s">
        <v>97</v>
      </c>
      <c r="C83" t="s">
        <v>62</v>
      </c>
      <c r="D83" t="s">
        <v>68</v>
      </c>
      <c r="E83" t="s">
        <v>64</v>
      </c>
    </row>
    <row r="84" spans="2:5" ht="15" customHeight="1" x14ac:dyDescent="0.2">
      <c r="B84" t="s">
        <v>97</v>
      </c>
      <c r="C84" t="s">
        <v>62</v>
      </c>
      <c r="D84" t="s">
        <v>86</v>
      </c>
      <c r="E84" t="s">
        <v>79</v>
      </c>
    </row>
    <row r="85" spans="2:5" ht="15" customHeight="1" x14ac:dyDescent="0.2">
      <c r="B85" t="s">
        <v>97</v>
      </c>
      <c r="C85" t="s">
        <v>62</v>
      </c>
      <c r="D85" t="s">
        <v>87</v>
      </c>
      <c r="E85" t="s">
        <v>64</v>
      </c>
    </row>
    <row r="86" spans="2:5" ht="15" customHeight="1" x14ac:dyDescent="0.2">
      <c r="B86" t="s">
        <v>97</v>
      </c>
      <c r="C86" t="s">
        <v>62</v>
      </c>
      <c r="D86" t="s">
        <v>98</v>
      </c>
      <c r="E86" t="s">
        <v>64</v>
      </c>
    </row>
    <row r="87" spans="2:5" ht="15" customHeight="1" x14ac:dyDescent="0.2">
      <c r="B87" t="s">
        <v>97</v>
      </c>
      <c r="C87" t="s">
        <v>62</v>
      </c>
      <c r="D87" t="s">
        <v>99</v>
      </c>
      <c r="E87" t="s">
        <v>64</v>
      </c>
    </row>
    <row r="88" spans="2:5" ht="15" customHeight="1" x14ac:dyDescent="0.2">
      <c r="B88" t="s">
        <v>97</v>
      </c>
      <c r="C88" t="s">
        <v>62</v>
      </c>
      <c r="D88" t="s">
        <v>100</v>
      </c>
      <c r="E88" t="s">
        <v>50</v>
      </c>
    </row>
    <row r="89" spans="2:5" ht="15" customHeight="1" x14ac:dyDescent="0.2">
      <c r="B89" t="s">
        <v>97</v>
      </c>
      <c r="C89" t="s">
        <v>62</v>
      </c>
      <c r="D89" t="s">
        <v>101</v>
      </c>
      <c r="E89" t="s">
        <v>50</v>
      </c>
    </row>
    <row r="90" spans="2:5" ht="15" customHeight="1" x14ac:dyDescent="0.2">
      <c r="B90" t="s">
        <v>97</v>
      </c>
      <c r="C90" t="s">
        <v>62</v>
      </c>
      <c r="D90" t="s">
        <v>102</v>
      </c>
      <c r="E90" t="s">
        <v>52</v>
      </c>
    </row>
    <row r="91" spans="2:5" ht="15" customHeight="1" x14ac:dyDescent="0.2">
      <c r="B91" t="s">
        <v>97</v>
      </c>
      <c r="C91" t="s">
        <v>62</v>
      </c>
      <c r="D91" t="s">
        <v>103</v>
      </c>
      <c r="E91" t="s">
        <v>79</v>
      </c>
    </row>
    <row r="92" spans="2:5" ht="15" customHeight="1" x14ac:dyDescent="0.2">
      <c r="B92" t="s">
        <v>97</v>
      </c>
      <c r="C92" t="s">
        <v>62</v>
      </c>
      <c r="D92" t="s">
        <v>90</v>
      </c>
      <c r="E92" t="s">
        <v>45</v>
      </c>
    </row>
    <row r="93" spans="2:5" ht="15" customHeight="1" x14ac:dyDescent="0.2">
      <c r="B93" t="s">
        <v>97</v>
      </c>
      <c r="C93" t="s">
        <v>62</v>
      </c>
      <c r="D93" t="s">
        <v>78</v>
      </c>
      <c r="E93" t="s">
        <v>79</v>
      </c>
    </row>
    <row r="94" spans="2:5" ht="15" customHeight="1" x14ac:dyDescent="0.2">
      <c r="B94" t="s">
        <v>97</v>
      </c>
      <c r="C94" t="s">
        <v>82</v>
      </c>
      <c r="D94" t="s">
        <v>83</v>
      </c>
      <c r="E94" t="s">
        <v>64</v>
      </c>
    </row>
    <row r="95" spans="2:5" ht="15" customHeight="1" x14ac:dyDescent="0.2">
      <c r="B95" t="s">
        <v>97</v>
      </c>
      <c r="C95" t="s">
        <v>82</v>
      </c>
      <c r="D95" t="s">
        <v>84</v>
      </c>
      <c r="E95" t="s">
        <v>79</v>
      </c>
    </row>
    <row r="96" spans="2:5" ht="15" customHeight="1" x14ac:dyDescent="0.2">
      <c r="B96" t="s">
        <v>104</v>
      </c>
      <c r="C96" t="s">
        <v>43</v>
      </c>
      <c r="D96" t="s">
        <v>105</v>
      </c>
      <c r="E96" t="s">
        <v>45</v>
      </c>
    </row>
    <row r="97" spans="2:5" ht="15" customHeight="1" x14ac:dyDescent="0.2">
      <c r="B97" t="s">
        <v>104</v>
      </c>
      <c r="C97" t="s">
        <v>43</v>
      </c>
      <c r="D97" t="s">
        <v>51</v>
      </c>
      <c r="E97" t="s">
        <v>52</v>
      </c>
    </row>
    <row r="98" spans="2:5" ht="15" customHeight="1" x14ac:dyDescent="0.2">
      <c r="B98" t="s">
        <v>104</v>
      </c>
      <c r="C98" t="s">
        <v>43</v>
      </c>
      <c r="D98" t="s">
        <v>53</v>
      </c>
      <c r="E98" t="s">
        <v>52</v>
      </c>
    </row>
    <row r="99" spans="2:5" ht="15" customHeight="1" x14ac:dyDescent="0.2">
      <c r="B99" t="s">
        <v>104</v>
      </c>
      <c r="C99" t="s">
        <v>54</v>
      </c>
      <c r="D99" t="s">
        <v>55</v>
      </c>
      <c r="E99" t="s">
        <v>56</v>
      </c>
    </row>
    <row r="100" spans="2:5" ht="15" customHeight="1" x14ac:dyDescent="0.2">
      <c r="B100" t="s">
        <v>104</v>
      </c>
      <c r="C100" t="s">
        <v>82</v>
      </c>
      <c r="D100" t="s">
        <v>106</v>
      </c>
      <c r="E100" t="s">
        <v>59</v>
      </c>
    </row>
    <row r="101" spans="2:5" ht="15" customHeight="1" x14ac:dyDescent="0.2">
      <c r="B101" t="s">
        <v>104</v>
      </c>
      <c r="C101" t="s">
        <v>82</v>
      </c>
      <c r="D101" t="s">
        <v>107</v>
      </c>
      <c r="E101" t="s">
        <v>59</v>
      </c>
    </row>
    <row r="102" spans="2:5" ht="15" customHeight="1" x14ac:dyDescent="0.2">
      <c r="B102" t="s">
        <v>104</v>
      </c>
      <c r="C102" t="s">
        <v>82</v>
      </c>
      <c r="D102" t="s">
        <v>108</v>
      </c>
      <c r="E102" t="s">
        <v>59</v>
      </c>
    </row>
    <row r="103" spans="2:5" ht="15" customHeight="1" x14ac:dyDescent="0.2">
      <c r="B103" t="s">
        <v>104</v>
      </c>
      <c r="C103" t="s">
        <v>82</v>
      </c>
      <c r="D103" t="s">
        <v>109</v>
      </c>
      <c r="E103" t="s">
        <v>64</v>
      </c>
    </row>
    <row r="104" spans="2:5" ht="15" customHeight="1" x14ac:dyDescent="0.2">
      <c r="B104" t="s">
        <v>104</v>
      </c>
      <c r="C104" t="s">
        <v>82</v>
      </c>
      <c r="D104" t="s">
        <v>110</v>
      </c>
      <c r="E104" t="s">
        <v>79</v>
      </c>
    </row>
    <row r="105" spans="2:5" ht="15" customHeight="1" x14ac:dyDescent="0.2">
      <c r="B105" t="s">
        <v>111</v>
      </c>
      <c r="C105" t="s">
        <v>43</v>
      </c>
      <c r="D105" t="s">
        <v>47</v>
      </c>
      <c r="E105" t="s">
        <v>45</v>
      </c>
    </row>
    <row r="106" spans="2:5" ht="15" customHeight="1" x14ac:dyDescent="0.2">
      <c r="B106" t="s">
        <v>111</v>
      </c>
      <c r="C106" t="s">
        <v>43</v>
      </c>
      <c r="D106" t="s">
        <v>112</v>
      </c>
      <c r="E106" t="s">
        <v>45</v>
      </c>
    </row>
    <row r="107" spans="2:5" ht="15" customHeight="1" x14ac:dyDescent="0.2">
      <c r="B107" t="s">
        <v>111</v>
      </c>
      <c r="C107" t="s">
        <v>43</v>
      </c>
      <c r="D107" t="s">
        <v>51</v>
      </c>
      <c r="E107" t="s">
        <v>52</v>
      </c>
    </row>
    <row r="108" spans="2:5" ht="15" customHeight="1" x14ac:dyDescent="0.2">
      <c r="B108" t="s">
        <v>111</v>
      </c>
      <c r="C108" t="s">
        <v>43</v>
      </c>
      <c r="D108" t="s">
        <v>53</v>
      </c>
      <c r="E108" t="s">
        <v>52</v>
      </c>
    </row>
    <row r="109" spans="2:5" ht="15" customHeight="1" x14ac:dyDescent="0.2">
      <c r="B109" t="s">
        <v>111</v>
      </c>
      <c r="C109" t="s">
        <v>54</v>
      </c>
      <c r="D109" t="s">
        <v>55</v>
      </c>
      <c r="E109" t="s">
        <v>56</v>
      </c>
    </row>
    <row r="110" spans="2:5" ht="15" customHeight="1" x14ac:dyDescent="0.2">
      <c r="B110" t="s">
        <v>111</v>
      </c>
      <c r="C110" t="s">
        <v>57</v>
      </c>
      <c r="D110" t="s">
        <v>113</v>
      </c>
      <c r="E110" t="s">
        <v>59</v>
      </c>
    </row>
    <row r="111" spans="2:5" ht="15" customHeight="1" x14ac:dyDescent="0.2">
      <c r="B111" t="s">
        <v>111</v>
      </c>
      <c r="C111" t="s">
        <v>57</v>
      </c>
      <c r="D111" t="s">
        <v>114</v>
      </c>
      <c r="E111" t="s">
        <v>59</v>
      </c>
    </row>
    <row r="112" spans="2:5" ht="15" customHeight="1" x14ac:dyDescent="0.2">
      <c r="B112" t="s">
        <v>111</v>
      </c>
      <c r="C112" t="s">
        <v>57</v>
      </c>
      <c r="D112" t="s">
        <v>115</v>
      </c>
      <c r="E112" t="s">
        <v>59</v>
      </c>
    </row>
    <row r="113" spans="2:5" ht="15" customHeight="1" x14ac:dyDescent="0.2">
      <c r="B113" t="s">
        <v>111</v>
      </c>
      <c r="C113" t="s">
        <v>62</v>
      </c>
      <c r="D113" t="s">
        <v>116</v>
      </c>
      <c r="E113" t="s">
        <v>45</v>
      </c>
    </row>
    <row r="114" spans="2:5" ht="15" customHeight="1" x14ac:dyDescent="0.2">
      <c r="B114" t="s">
        <v>111</v>
      </c>
      <c r="C114" t="s">
        <v>62</v>
      </c>
      <c r="D114" t="s">
        <v>117</v>
      </c>
      <c r="E114" t="s">
        <v>45</v>
      </c>
    </row>
    <row r="115" spans="2:5" ht="15" customHeight="1" x14ac:dyDescent="0.2">
      <c r="B115" t="s">
        <v>111</v>
      </c>
      <c r="C115" t="s">
        <v>62</v>
      </c>
      <c r="D115" t="s">
        <v>118</v>
      </c>
      <c r="E115" t="s">
        <v>52</v>
      </c>
    </row>
    <row r="116" spans="2:5" ht="15" customHeight="1" x14ac:dyDescent="0.2">
      <c r="B116" t="s">
        <v>111</v>
      </c>
      <c r="C116" t="s">
        <v>82</v>
      </c>
      <c r="D116" t="s">
        <v>119</v>
      </c>
      <c r="E116" t="s">
        <v>52</v>
      </c>
    </row>
    <row r="117" spans="2:5" ht="15" customHeight="1" x14ac:dyDescent="0.2">
      <c r="B117" t="s">
        <v>111</v>
      </c>
      <c r="C117" t="s">
        <v>82</v>
      </c>
      <c r="D117" t="s">
        <v>120</v>
      </c>
      <c r="E117" t="s">
        <v>64</v>
      </c>
    </row>
    <row r="118" spans="2:5" ht="15" customHeight="1" x14ac:dyDescent="0.2">
      <c r="B118" t="s">
        <v>121</v>
      </c>
      <c r="C118" t="s">
        <v>43</v>
      </c>
      <c r="D118" t="s">
        <v>122</v>
      </c>
      <c r="E118" t="s">
        <v>45</v>
      </c>
    </row>
    <row r="119" spans="2:5" ht="15" customHeight="1" x14ac:dyDescent="0.2">
      <c r="B119" t="s">
        <v>121</v>
      </c>
      <c r="C119" t="s">
        <v>43</v>
      </c>
      <c r="D119" t="s">
        <v>123</v>
      </c>
      <c r="E119" t="s">
        <v>45</v>
      </c>
    </row>
    <row r="120" spans="2:5" ht="15" customHeight="1" x14ac:dyDescent="0.2">
      <c r="B120" t="s">
        <v>121</v>
      </c>
      <c r="C120" t="s">
        <v>43</v>
      </c>
      <c r="D120" t="s">
        <v>124</v>
      </c>
      <c r="E120" t="s">
        <v>52</v>
      </c>
    </row>
    <row r="121" spans="2:5" ht="15" customHeight="1" x14ac:dyDescent="0.2">
      <c r="B121" t="s">
        <v>121</v>
      </c>
      <c r="C121" t="s">
        <v>54</v>
      </c>
      <c r="D121" t="s">
        <v>55</v>
      </c>
      <c r="E121" t="s">
        <v>56</v>
      </c>
    </row>
    <row r="122" spans="2:5" ht="15" customHeight="1" x14ac:dyDescent="0.2">
      <c r="B122" t="s">
        <v>121</v>
      </c>
      <c r="C122" t="s">
        <v>57</v>
      </c>
      <c r="D122" t="s">
        <v>125</v>
      </c>
      <c r="E122" t="s">
        <v>59</v>
      </c>
    </row>
    <row r="123" spans="2:5" ht="15" customHeight="1" x14ac:dyDescent="0.2">
      <c r="B123" t="s">
        <v>121</v>
      </c>
      <c r="C123" t="s">
        <v>57</v>
      </c>
      <c r="D123" t="s">
        <v>126</v>
      </c>
      <c r="E123" t="s">
        <v>59</v>
      </c>
    </row>
    <row r="124" spans="2:5" ht="15" customHeight="1" x14ac:dyDescent="0.2">
      <c r="B124" t="s">
        <v>121</v>
      </c>
      <c r="C124" t="s">
        <v>57</v>
      </c>
      <c r="D124" t="s">
        <v>127</v>
      </c>
      <c r="E124" t="s">
        <v>59</v>
      </c>
    </row>
    <row r="125" spans="2:5" ht="15" customHeight="1" x14ac:dyDescent="0.2">
      <c r="B125" t="s">
        <v>121</v>
      </c>
      <c r="C125" t="s">
        <v>62</v>
      </c>
      <c r="D125" t="s">
        <v>68</v>
      </c>
      <c r="E125" t="s">
        <v>64</v>
      </c>
    </row>
    <row r="126" spans="2:5" ht="15" customHeight="1" x14ac:dyDescent="0.2">
      <c r="B126" t="s">
        <v>121</v>
      </c>
      <c r="C126" t="s">
        <v>62</v>
      </c>
      <c r="D126" t="s">
        <v>128</v>
      </c>
      <c r="E126" t="s">
        <v>64</v>
      </c>
    </row>
    <row r="127" spans="2:5" ht="15" customHeight="1" x14ac:dyDescent="0.2">
      <c r="B127" t="s">
        <v>121</v>
      </c>
      <c r="C127" t="s">
        <v>62</v>
      </c>
      <c r="D127" t="s">
        <v>129</v>
      </c>
      <c r="E127" t="s">
        <v>52</v>
      </c>
    </row>
    <row r="128" spans="2:5" ht="15" customHeight="1" x14ac:dyDescent="0.2">
      <c r="B128" t="s">
        <v>121</v>
      </c>
      <c r="C128" t="s">
        <v>82</v>
      </c>
      <c r="D128" t="s">
        <v>130</v>
      </c>
      <c r="E128" t="s">
        <v>64</v>
      </c>
    </row>
    <row r="129" spans="2:5" ht="15" customHeight="1" x14ac:dyDescent="0.2">
      <c r="B129" t="s">
        <v>121</v>
      </c>
      <c r="C129" t="s">
        <v>82</v>
      </c>
      <c r="D129" t="s">
        <v>131</v>
      </c>
      <c r="E129" t="s">
        <v>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O8"/>
  <sheetViews>
    <sheetView showGridLines="0" zoomScaleNormal="100" workbookViewId="0">
      <pane ySplit="3" topLeftCell="A4" activePane="bottomLeft" state="frozen"/>
      <selection pane="bottomLeft" activeCell="C10" sqref="C10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3" width="36" customWidth="1"/>
    <col min="4" max="4" width="22" customWidth="1"/>
    <col min="5" max="5" width="24" customWidth="1"/>
    <col min="6" max="6" width="18" customWidth="1"/>
    <col min="7" max="7" width="24" customWidth="1"/>
    <col min="8" max="9" width="14" customWidth="1"/>
    <col min="10" max="10" width="15.33203125" customWidth="1"/>
    <col min="11" max="11" width="13.6640625" customWidth="1"/>
    <col min="12" max="13" width="24" customWidth="1"/>
    <col min="14" max="14" width="14" customWidth="1"/>
    <col min="15" max="15" width="36" customWidth="1"/>
  </cols>
  <sheetData>
    <row r="1" spans="1:15" ht="30" customHeight="1" x14ac:dyDescent="0.2">
      <c r="A1" s="78" t="s">
        <v>132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18" customHeight="1" x14ac:dyDescent="0.2">
      <c r="A2" s="79" t="s">
        <v>133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27.75" customHeight="1" x14ac:dyDescent="0.2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  <c r="H3" s="1" t="s">
        <v>141</v>
      </c>
      <c r="I3" s="1" t="s">
        <v>142</v>
      </c>
      <c r="J3" s="1" t="s">
        <v>143</v>
      </c>
      <c r="K3" s="1" t="s">
        <v>144</v>
      </c>
      <c r="L3" s="1" t="s">
        <v>145</v>
      </c>
      <c r="M3" s="1" t="s">
        <v>146</v>
      </c>
      <c r="N3" s="1" t="s">
        <v>147</v>
      </c>
      <c r="O3" s="1" t="s">
        <v>148</v>
      </c>
    </row>
    <row r="4" spans="1:15" ht="19.5" customHeight="1" x14ac:dyDescent="0.2">
      <c r="A4" s="17">
        <f t="shared" ref="A4:A8" si="0">IF(B4&lt;&gt;"",ROW()-3,"")</f>
        <v>1</v>
      </c>
      <c r="B4" s="18" t="s">
        <v>149</v>
      </c>
      <c r="C4" s="18" t="s">
        <v>150</v>
      </c>
      <c r="D4" s="18" t="s">
        <v>42</v>
      </c>
      <c r="E4" s="18" t="s">
        <v>151</v>
      </c>
      <c r="F4" s="18" t="s">
        <v>152</v>
      </c>
      <c r="G4" s="18" t="s">
        <v>153</v>
      </c>
      <c r="H4" s="17" t="s">
        <v>154</v>
      </c>
      <c r="I4" s="17" t="s">
        <v>155</v>
      </c>
      <c r="J4" s="17">
        <v>2025</v>
      </c>
      <c r="K4" s="17">
        <v>28</v>
      </c>
      <c r="L4" s="18" t="s">
        <v>156</v>
      </c>
      <c r="M4" s="18" t="s">
        <v>157</v>
      </c>
      <c r="N4" s="18" t="s">
        <v>158</v>
      </c>
      <c r="O4" s="18"/>
    </row>
    <row r="5" spans="1:15" ht="19.5" customHeight="1" x14ac:dyDescent="0.2">
      <c r="A5" s="19">
        <f t="shared" si="0"/>
        <v>2</v>
      </c>
      <c r="B5" s="20" t="s">
        <v>159</v>
      </c>
      <c r="C5" s="20" t="s">
        <v>160</v>
      </c>
      <c r="D5" s="20" t="s">
        <v>85</v>
      </c>
      <c r="E5" s="20" t="s">
        <v>161</v>
      </c>
      <c r="F5" s="20" t="s">
        <v>162</v>
      </c>
      <c r="G5" s="20" t="s">
        <v>163</v>
      </c>
      <c r="H5" s="19" t="s">
        <v>164</v>
      </c>
      <c r="I5" s="19" t="s">
        <v>165</v>
      </c>
      <c r="J5" s="19">
        <v>2025</v>
      </c>
      <c r="K5" s="19">
        <v>15</v>
      </c>
      <c r="L5" s="20" t="s">
        <v>166</v>
      </c>
      <c r="M5" s="20" t="s">
        <v>167</v>
      </c>
      <c r="N5" s="20" t="s">
        <v>158</v>
      </c>
      <c r="O5" s="20" t="s">
        <v>168</v>
      </c>
    </row>
    <row r="6" spans="1:15" ht="19.5" customHeight="1" x14ac:dyDescent="0.2">
      <c r="A6" s="17">
        <f t="shared" si="0"/>
        <v>3</v>
      </c>
      <c r="B6" s="18" t="s">
        <v>169</v>
      </c>
      <c r="C6" s="18" t="s">
        <v>170</v>
      </c>
      <c r="D6" s="18" t="s">
        <v>91</v>
      </c>
      <c r="E6" s="18" t="s">
        <v>161</v>
      </c>
      <c r="F6" s="18" t="s">
        <v>171</v>
      </c>
      <c r="G6" s="18" t="s">
        <v>172</v>
      </c>
      <c r="H6" s="17" t="s">
        <v>173</v>
      </c>
      <c r="I6" s="17" t="s">
        <v>174</v>
      </c>
      <c r="J6" s="17">
        <v>2025</v>
      </c>
      <c r="K6" s="17">
        <v>22</v>
      </c>
      <c r="L6" s="18" t="s">
        <v>156</v>
      </c>
      <c r="M6" s="18" t="s">
        <v>175</v>
      </c>
      <c r="N6" s="18" t="s">
        <v>158</v>
      </c>
      <c r="O6" s="18"/>
    </row>
    <row r="7" spans="1:15" ht="19.5" customHeight="1" x14ac:dyDescent="0.2">
      <c r="A7" s="19">
        <f t="shared" si="0"/>
        <v>4</v>
      </c>
      <c r="B7" s="20" t="s">
        <v>176</v>
      </c>
      <c r="C7" s="20" t="s">
        <v>177</v>
      </c>
      <c r="D7" s="20" t="s">
        <v>104</v>
      </c>
      <c r="E7" s="20" t="s">
        <v>178</v>
      </c>
      <c r="F7" s="20" t="s">
        <v>171</v>
      </c>
      <c r="G7" s="20" t="s">
        <v>179</v>
      </c>
      <c r="H7" s="19" t="s">
        <v>180</v>
      </c>
      <c r="I7" s="19" t="s">
        <v>181</v>
      </c>
      <c r="J7" s="19">
        <v>2025</v>
      </c>
      <c r="K7" s="19">
        <v>45</v>
      </c>
      <c r="L7" s="20" t="s">
        <v>182</v>
      </c>
      <c r="M7" s="20" t="s">
        <v>183</v>
      </c>
      <c r="N7" s="20" t="s">
        <v>158</v>
      </c>
      <c r="O7" s="20" t="s">
        <v>184</v>
      </c>
    </row>
    <row r="8" spans="1:15" ht="19.5" customHeight="1" x14ac:dyDescent="0.2">
      <c r="A8" s="90">
        <f t="shared" si="0"/>
        <v>5</v>
      </c>
      <c r="B8" s="91" t="s">
        <v>185</v>
      </c>
      <c r="C8" s="91" t="s">
        <v>186</v>
      </c>
      <c r="D8" s="91" t="s">
        <v>111</v>
      </c>
      <c r="E8" s="91" t="s">
        <v>178</v>
      </c>
      <c r="F8" s="91" t="s">
        <v>162</v>
      </c>
      <c r="G8" s="91" t="s">
        <v>187</v>
      </c>
      <c r="H8" s="90" t="s">
        <v>180</v>
      </c>
      <c r="I8" s="90" t="s">
        <v>181</v>
      </c>
      <c r="J8" s="90">
        <v>2025</v>
      </c>
      <c r="K8" s="90">
        <v>18</v>
      </c>
      <c r="L8" s="91" t="s">
        <v>182</v>
      </c>
      <c r="M8" s="91" t="s">
        <v>188</v>
      </c>
      <c r="N8" s="91" t="s">
        <v>158</v>
      </c>
      <c r="O8" s="91"/>
    </row>
  </sheetData>
  <mergeCells count="2">
    <mergeCell ref="A1:O1"/>
    <mergeCell ref="A2:O2"/>
  </mergeCells>
  <dataValidations count="3">
    <dataValidation type="list" allowBlank="1" sqref="D4:D8" xr:uid="{00000000-0002-0000-0200-000000000000}">
      <formula1>TiposInstalacion</formula1>
      <formula2>0</formula2>
    </dataValidation>
    <dataValidation type="list" allowBlank="1" sqref="L4:L8" xr:uid="{00000000-0002-0000-0200-000001000000}">
      <formula1>"Obra propia,Consorcio,Subcontrato,Instalación fija"</formula1>
      <formula2>0</formula2>
    </dataValidation>
    <dataValidation type="list" allowBlank="1" sqref="N4:N8" xr:uid="{00000000-0002-0000-0200-000002000000}">
      <formula1>"Activa,Terminada,En espera,Suspendida"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S6"/>
  <sheetViews>
    <sheetView showGridLines="0" tabSelected="1" zoomScaleNormal="100" workbookViewId="0">
      <pane ySplit="3" topLeftCell="A4" activePane="bottomLeft" state="frozen"/>
      <selection pane="bottomLeft" activeCell="I21" sqref="I21"/>
    </sheetView>
  </sheetViews>
  <sheetFormatPr baseColWidth="10" defaultColWidth="8.6640625" defaultRowHeight="15" x14ac:dyDescent="0.2"/>
  <cols>
    <col min="1" max="2" width="8" customWidth="1"/>
    <col min="3" max="3" width="12" customWidth="1"/>
    <col min="4" max="5" width="14" customWidth="1"/>
    <col min="6" max="6" width="36" customWidth="1"/>
    <col min="7" max="7" width="22" customWidth="1"/>
    <col min="8" max="8" width="34" customWidth="1"/>
    <col min="9" max="9" width="36" customWidth="1"/>
    <col min="10" max="10" width="30" customWidth="1"/>
    <col min="11" max="11" width="14" customWidth="1"/>
    <col min="12" max="12" width="12" customWidth="1"/>
    <col min="13" max="13" width="18" customWidth="1"/>
    <col min="14" max="14" width="16" customWidth="1"/>
    <col min="15" max="15" width="32" customWidth="1"/>
    <col min="16" max="16" width="20" customWidth="1"/>
    <col min="17" max="18" width="14" customWidth="1"/>
    <col min="19" max="19" width="32" customWidth="1"/>
  </cols>
  <sheetData>
    <row r="1" spans="1:19" ht="30" customHeight="1" x14ac:dyDescent="0.2">
      <c r="A1" s="78" t="s">
        <v>189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19" ht="18" customHeight="1" x14ac:dyDescent="0.2">
      <c r="A2" s="79" t="s">
        <v>190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36" customHeight="1" x14ac:dyDescent="0.2">
      <c r="A3" s="1" t="s">
        <v>191</v>
      </c>
      <c r="B3" s="1" t="s">
        <v>192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  <c r="K3" s="1" t="s">
        <v>201</v>
      </c>
      <c r="L3" s="1" t="s">
        <v>202</v>
      </c>
      <c r="M3" s="1" t="s">
        <v>203</v>
      </c>
      <c r="N3" s="1" t="s">
        <v>204</v>
      </c>
      <c r="O3" s="1" t="s">
        <v>336</v>
      </c>
      <c r="P3" s="1" t="s">
        <v>205</v>
      </c>
      <c r="Q3" s="1" t="s">
        <v>206</v>
      </c>
      <c r="R3" s="1" t="s">
        <v>207</v>
      </c>
      <c r="S3" s="1" t="s">
        <v>148</v>
      </c>
    </row>
    <row r="4" spans="1:19" ht="19.5" customHeight="1" x14ac:dyDescent="0.2">
      <c r="A4" s="99">
        <f t="shared" ref="A4:A6" si="0">IF(F4&lt;&gt;"",ROW()-3,"")</f>
        <v>1</v>
      </c>
      <c r="B4" s="99">
        <v>2025</v>
      </c>
      <c r="C4" s="98" t="s">
        <v>208</v>
      </c>
      <c r="D4" s="98" t="s">
        <v>209</v>
      </c>
      <c r="E4" s="97" t="s">
        <v>149</v>
      </c>
      <c r="F4" s="22" t="str">
        <f>+VLOOKUP(E4,Maestro_Obras[[Código Interno]:[Nombre de Obra]],2,FALSE)</f>
        <v>Ruta 8 Km 45 - Pavimentación</v>
      </c>
      <c r="G4" s="22" t="s">
        <v>42</v>
      </c>
      <c r="H4" s="22" t="s">
        <v>43</v>
      </c>
      <c r="I4" s="22" t="s">
        <v>44</v>
      </c>
      <c r="J4" s="22" t="s">
        <v>210</v>
      </c>
      <c r="K4" s="23">
        <v>4500</v>
      </c>
      <c r="L4" s="21" t="s">
        <v>45</v>
      </c>
      <c r="M4" s="24">
        <v>2.68</v>
      </c>
      <c r="N4" s="100">
        <f>IF(K4*M4&lt;&gt;0,K4*M4/1000,"")</f>
        <v>12.06</v>
      </c>
      <c r="O4" s="22" t="s">
        <v>211</v>
      </c>
      <c r="P4" s="22" t="s">
        <v>212</v>
      </c>
      <c r="Q4" s="22" t="s">
        <v>213</v>
      </c>
      <c r="R4" s="22" t="s">
        <v>214</v>
      </c>
      <c r="S4" s="22"/>
    </row>
    <row r="5" spans="1:19" ht="19.5" customHeight="1" x14ac:dyDescent="0.2">
      <c r="A5" s="26">
        <f>+A4+1</f>
        <v>2</v>
      </c>
      <c r="B5" s="26">
        <v>2025</v>
      </c>
      <c r="C5" s="26" t="s">
        <v>208</v>
      </c>
      <c r="D5" s="26" t="s">
        <v>209</v>
      </c>
      <c r="E5" s="27" t="s">
        <v>149</v>
      </c>
      <c r="F5" s="27" t="s">
        <v>150</v>
      </c>
      <c r="G5" s="27" t="s">
        <v>42</v>
      </c>
      <c r="H5" s="27" t="s">
        <v>54</v>
      </c>
      <c r="I5" s="27" t="s">
        <v>55</v>
      </c>
      <c r="J5" s="27" t="s">
        <v>215</v>
      </c>
      <c r="K5" s="28">
        <v>1250</v>
      </c>
      <c r="L5" s="26" t="s">
        <v>56</v>
      </c>
      <c r="M5" s="29">
        <v>0.19</v>
      </c>
      <c r="N5" s="30">
        <f>IF(K5*M5&lt;&gt;0,K5*M5/1000,"")</f>
        <v>0.23749999999999999</v>
      </c>
      <c r="O5" s="27" t="s">
        <v>216</v>
      </c>
      <c r="P5" s="27" t="s">
        <v>212</v>
      </c>
      <c r="Q5" s="27" t="s">
        <v>213</v>
      </c>
      <c r="R5" s="27" t="s">
        <v>217</v>
      </c>
      <c r="S5" s="27"/>
    </row>
    <row r="6" spans="1:19" ht="19.5" customHeight="1" x14ac:dyDescent="0.2">
      <c r="A6" s="92">
        <f t="shared" si="0"/>
        <v>3</v>
      </c>
      <c r="B6" s="92">
        <v>2025</v>
      </c>
      <c r="C6" s="92" t="s">
        <v>208</v>
      </c>
      <c r="D6" s="92" t="s">
        <v>218</v>
      </c>
      <c r="E6" s="93" t="s">
        <v>176</v>
      </c>
      <c r="F6" s="93" t="s">
        <v>177</v>
      </c>
      <c r="G6" s="93" t="s">
        <v>104</v>
      </c>
      <c r="H6" s="93" t="s">
        <v>54</v>
      </c>
      <c r="I6" s="93" t="s">
        <v>55</v>
      </c>
      <c r="J6" s="93" t="s">
        <v>219</v>
      </c>
      <c r="K6" s="94">
        <v>3800</v>
      </c>
      <c r="L6" s="92" t="s">
        <v>56</v>
      </c>
      <c r="M6" s="95">
        <v>0.19</v>
      </c>
      <c r="N6" s="96">
        <f>IF(K6*M6&lt;&gt;0,K6*M6/1000,"")</f>
        <v>0.72199999999999998</v>
      </c>
      <c r="O6" s="93" t="s">
        <v>220</v>
      </c>
      <c r="P6" s="93" t="s">
        <v>221</v>
      </c>
      <c r="Q6" s="93" t="s">
        <v>222</v>
      </c>
      <c r="R6" s="93" t="s">
        <v>217</v>
      </c>
      <c r="S6" s="93"/>
    </row>
  </sheetData>
  <mergeCells count="2">
    <mergeCell ref="A1:S1"/>
    <mergeCell ref="A2:S2"/>
  </mergeCells>
  <dataValidations count="3">
    <dataValidation type="list" allowBlank="1" sqref="H4:H207" xr:uid="{00000000-0002-0000-0300-000001000000}">
      <formula1>CategoriasISO</formula1>
      <formula2>0</formula2>
    </dataValidation>
    <dataValidation type="list" allowBlank="1" sqref="C4:C207" xr:uid="{00000000-0002-0000-0300-000002000000}">
      <formula1>"T1,T2,T3,T4"</formula1>
      <formula2>0</formula2>
    </dataValidation>
    <dataValidation type="list" allowBlank="1" sqref="R4:R207" xr:uid="{00000000-0002-0000-0300-000003000000}">
      <formula1>"Sí,No,Pendiente"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A58A21B6-8ADA-2B45-90B7-93B144B5F06B}">
          <x14:formula1>
            <xm:f>'⚙️ Configuración'!$K$2:$K$8</xm:f>
          </x14:formula1>
          <xm:sqref>G4:G1048576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B2:G2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1" sqref="E31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6" width="16" customWidth="1"/>
    <col min="7" max="7" width="18" customWidth="1"/>
    <col min="8" max="8" width="3" customWidth="1"/>
  </cols>
  <sheetData>
    <row r="2" spans="2:7" ht="30" customHeight="1" x14ac:dyDescent="0.2">
      <c r="B2" s="78" t="s">
        <v>223</v>
      </c>
      <c r="C2" s="78"/>
      <c r="D2" s="78"/>
      <c r="E2" s="78"/>
      <c r="F2" s="78"/>
      <c r="G2" s="78"/>
    </row>
    <row r="3" spans="2:7" ht="19.5" customHeight="1" x14ac:dyDescent="0.2">
      <c r="B3" s="80" t="s">
        <v>224</v>
      </c>
      <c r="C3" s="80"/>
      <c r="D3" s="80"/>
      <c r="E3" s="80"/>
      <c r="F3" s="80"/>
      <c r="G3" s="80"/>
    </row>
    <row r="4" spans="2:7" ht="9.75" customHeight="1" x14ac:dyDescent="0.2"/>
    <row r="5" spans="2:7" ht="25.5" customHeight="1" x14ac:dyDescent="0.2">
      <c r="B5" s="31" t="s">
        <v>225</v>
      </c>
      <c r="C5" s="32">
        <v>2025</v>
      </c>
      <c r="D5" s="33" t="s">
        <v>226</v>
      </c>
    </row>
    <row r="6" spans="2:7" ht="12" customHeight="1" x14ac:dyDescent="0.2"/>
    <row r="7" spans="2:7" ht="24" customHeight="1" x14ac:dyDescent="0.2">
      <c r="B7" s="77" t="s">
        <v>227</v>
      </c>
      <c r="C7" s="77"/>
      <c r="D7" s="77"/>
      <c r="E7" s="77"/>
      <c r="F7" s="77"/>
      <c r="G7" s="77"/>
    </row>
    <row r="8" spans="2:7" ht="21.75" customHeight="1" x14ac:dyDescent="0.2">
      <c r="B8" s="34" t="s">
        <v>228</v>
      </c>
      <c r="C8" s="34" t="s">
        <v>208</v>
      </c>
      <c r="D8" s="34" t="s">
        <v>229</v>
      </c>
      <c r="E8" s="34" t="s">
        <v>230</v>
      </c>
      <c r="F8" s="34" t="s">
        <v>231</v>
      </c>
      <c r="G8" s="34" t="s">
        <v>232</v>
      </c>
    </row>
    <row r="9" spans="2:7" ht="19.5" customHeight="1" x14ac:dyDescent="0.2">
      <c r="B9" s="11" t="s">
        <v>43</v>
      </c>
      <c r="C9" s="25">
        <f>IFERROR(SUMIFS('📊 Base de Datos'!$N$4:$N$207,'📊 Base de Datos'!$B$4:$B$207,$C$5,'📊 Base de Datos'!$C$4:$C$207,"T1",'📊 Base de Datos'!$H$4:$H$207,"Alcance 1*"),0)</f>
        <v>12.06</v>
      </c>
      <c r="D9" s="25">
        <f>IFERROR(SUMIFS('📊 Base de Datos'!$N$4:$N$207,'📊 Base de Datos'!$B$4:$B$207,$C$5,'📊 Base de Datos'!$C$4:$C$207,"T2",'📊 Base de Datos'!$H$4:$H$207,"Alcance 1*"),0)</f>
        <v>0</v>
      </c>
      <c r="E9" s="25">
        <f>IFERROR(SUMIFS('📊 Base de Datos'!$N$4:$N$207,'📊 Base de Datos'!$B$4:$B$207,$C$5,'📊 Base de Datos'!$C$4:$C$207,"T3",'📊 Base de Datos'!$H$4:$H$207,"Alcance 1*"),0)</f>
        <v>0</v>
      </c>
      <c r="F9" s="25">
        <f>IFERROR(SUMIFS('📊 Base de Datos'!$N$4:$N$207,'📊 Base de Datos'!$B$4:$B$207,$C$5,'📊 Base de Datos'!$C$4:$C$207,"T4",'📊 Base de Datos'!$H$4:$H$207,"Alcance 1*"),0)</f>
        <v>0</v>
      </c>
      <c r="G9" s="35">
        <f>SUM(C9:F9)</f>
        <v>12.06</v>
      </c>
    </row>
    <row r="10" spans="2:7" ht="19.5" customHeight="1" x14ac:dyDescent="0.2">
      <c r="B10" s="36" t="s">
        <v>54</v>
      </c>
      <c r="C10" s="30">
        <f>IFERROR(SUMIFS('📊 Base de Datos'!$N$4:$N$207,'📊 Base de Datos'!$B$4:$B$207,$C$5,'📊 Base de Datos'!$C$4:$C$207,"T1",'📊 Base de Datos'!$H$4:$H$207,"Alcance 2*"),0)</f>
        <v>0.95950000000000002</v>
      </c>
      <c r="D10" s="30">
        <f>IFERROR(SUMIFS('📊 Base de Datos'!$N$4:$N$207,'📊 Base de Datos'!$B$4:$B$207,$C$5,'📊 Base de Datos'!$C$4:$C$207,"T2",'📊 Base de Datos'!$H$4:$H$207,"Alcance 2*"),0)</f>
        <v>0</v>
      </c>
      <c r="E10" s="30">
        <f>IFERROR(SUMIFS('📊 Base de Datos'!$N$4:$N$207,'📊 Base de Datos'!$B$4:$B$207,$C$5,'📊 Base de Datos'!$C$4:$C$207,"T3",'📊 Base de Datos'!$H$4:$H$207,"Alcance 2*"),0)</f>
        <v>0</v>
      </c>
      <c r="F10" s="30">
        <f>IFERROR(SUMIFS('📊 Base de Datos'!$N$4:$N$207,'📊 Base de Datos'!$B$4:$B$207,$C$5,'📊 Base de Datos'!$C$4:$C$207,"T4",'📊 Base de Datos'!$H$4:$H$207,"Alcance 2*"),0)</f>
        <v>0</v>
      </c>
      <c r="G10" s="37">
        <f>SUM(C10:F10)</f>
        <v>0.95950000000000002</v>
      </c>
    </row>
    <row r="11" spans="2:7" ht="19.5" customHeight="1" x14ac:dyDescent="0.2">
      <c r="B11" s="38" t="s">
        <v>233</v>
      </c>
      <c r="C11" s="39">
        <f>IFERROR(SUMIFS('📊 Base de Datos'!$N$4:$N$207,'📊 Base de Datos'!$B$4:$B$207,$C$5,'📊 Base de Datos'!$C$4:$C$207,"T1",'📊 Base de Datos'!$H$4:$H$207,"*transporte*"),0)</f>
        <v>0</v>
      </c>
      <c r="D11" s="39">
        <f>IFERROR(SUMIFS('📊 Base de Datos'!$N$4:$N$207,'📊 Base de Datos'!$B$4:$B$207,$C$5,'📊 Base de Datos'!$C$4:$C$207,"T2",'📊 Base de Datos'!$H$4:$H$207,"*transporte*"),0)</f>
        <v>0</v>
      </c>
      <c r="E11" s="39">
        <f>IFERROR(SUMIFS('📊 Base de Datos'!$N$4:$N$207,'📊 Base de Datos'!$B$4:$B$207,$C$5,'📊 Base de Datos'!$C$4:$C$207,"T3",'📊 Base de Datos'!$H$4:$H$207,"*transporte*"),0)</f>
        <v>0</v>
      </c>
      <c r="F11" s="39">
        <f>IFERROR(SUMIFS('📊 Base de Datos'!$N$4:$N$207,'📊 Base de Datos'!$B$4:$B$207,$C$5,'📊 Base de Datos'!$C$4:$C$207,"T4",'📊 Base de Datos'!$H$4:$H$207,"*transporte*"),0)</f>
        <v>0</v>
      </c>
      <c r="G11" s="40">
        <f>SUM(C11:F11)</f>
        <v>0</v>
      </c>
    </row>
    <row r="12" spans="2:7" ht="19.5" customHeight="1" x14ac:dyDescent="0.2">
      <c r="B12" s="38" t="s">
        <v>234</v>
      </c>
      <c r="C12" s="39">
        <f>IFERROR(SUMIFS('📊 Base de Datos'!$N$4:$N$207,'📊 Base de Datos'!$B$4:$B$207,$C$5,'📊 Base de Datos'!$C$4:$C$207,"T1",'📊 Base de Datos'!$H$4:$H$207,"*productos*"),0)</f>
        <v>0</v>
      </c>
      <c r="D12" s="39">
        <f>IFERROR(SUMIFS('📊 Base de Datos'!$N$4:$N$207,'📊 Base de Datos'!$B$4:$B$207,$C$5,'📊 Base de Datos'!$C$4:$C$207,"T2",'📊 Base de Datos'!$H$4:$H$207,"*productos*"),0)</f>
        <v>0</v>
      </c>
      <c r="E12" s="39">
        <f>IFERROR(SUMIFS('📊 Base de Datos'!$N$4:$N$207,'📊 Base de Datos'!$B$4:$B$207,$C$5,'📊 Base de Datos'!$C$4:$C$207,"T3",'📊 Base de Datos'!$H$4:$H$207,"*productos*"),0)</f>
        <v>0</v>
      </c>
      <c r="F12" s="39">
        <f>IFERROR(SUMIFS('📊 Base de Datos'!$N$4:$N$207,'📊 Base de Datos'!$B$4:$B$207,$C$5,'📊 Base de Datos'!$C$4:$C$207,"T4",'📊 Base de Datos'!$H$4:$H$207,"*productos*"),0)</f>
        <v>0</v>
      </c>
      <c r="G12" s="40">
        <f>SUM(C12:F12)</f>
        <v>0</v>
      </c>
    </row>
    <row r="13" spans="2:7" ht="19.5" customHeight="1" x14ac:dyDescent="0.2">
      <c r="B13" s="38" t="s">
        <v>82</v>
      </c>
      <c r="C13" s="39">
        <f>IFERROR(SUMIFS('📊 Base de Datos'!$N$4:$N$207,'📊 Base de Datos'!$B$4:$B$207,$C$5,'📊 Base de Datos'!$C$4:$C$207,"T1",'📊 Base de Datos'!$H$4:$H$207,"*Otras*"),0)</f>
        <v>0</v>
      </c>
      <c r="D13" s="39">
        <f>IFERROR(SUMIFS('📊 Base de Datos'!$N$4:$N$207,'📊 Base de Datos'!$B$4:$B$207,$C$5,'📊 Base de Datos'!$C$4:$C$207,"T2",'📊 Base de Datos'!$H$4:$H$207,"*Otras*"),0)</f>
        <v>0</v>
      </c>
      <c r="E13" s="39">
        <f>IFERROR(SUMIFS('📊 Base de Datos'!$N$4:$N$207,'📊 Base de Datos'!$B$4:$B$207,$C$5,'📊 Base de Datos'!$C$4:$C$207,"T3",'📊 Base de Datos'!$H$4:$H$207,"*Otras*"),0)</f>
        <v>0</v>
      </c>
      <c r="F13" s="39">
        <f>IFERROR(SUMIFS('📊 Base de Datos'!$N$4:$N$207,'📊 Base de Datos'!$B$4:$B$207,$C$5,'📊 Base de Datos'!$C$4:$C$207,"T4",'📊 Base de Datos'!$H$4:$H$207,"*Otras*"),0)</f>
        <v>0</v>
      </c>
      <c r="G13" s="40">
        <f>SUM(C13:F13)</f>
        <v>0</v>
      </c>
    </row>
    <row r="14" spans="2:7" ht="24" customHeight="1" x14ac:dyDescent="0.2">
      <c r="B14" s="41" t="s">
        <v>235</v>
      </c>
      <c r="C14" s="42">
        <f>SUM(C9:C13)</f>
        <v>13.019500000000001</v>
      </c>
      <c r="D14" s="42">
        <f>SUM(D9:D13)</f>
        <v>0</v>
      </c>
      <c r="E14" s="42">
        <f>SUM(E9:E13)</f>
        <v>0</v>
      </c>
      <c r="F14" s="42">
        <f>SUM(F9:F13)</f>
        <v>0</v>
      </c>
      <c r="G14" s="42">
        <f>SUM(G9:G13)</f>
        <v>13.019500000000001</v>
      </c>
    </row>
    <row r="15" spans="2:7" ht="12" customHeight="1" x14ac:dyDescent="0.2"/>
    <row r="16" spans="2:7" ht="24" customHeight="1" x14ac:dyDescent="0.2">
      <c r="B16" s="77" t="s">
        <v>236</v>
      </c>
      <c r="C16" s="77"/>
      <c r="D16" s="77"/>
      <c r="E16" s="77"/>
      <c r="F16" s="77"/>
      <c r="G16" s="77"/>
    </row>
    <row r="17" spans="2:7" ht="21.75" customHeight="1" x14ac:dyDescent="0.2">
      <c r="B17" s="34" t="s">
        <v>237</v>
      </c>
      <c r="C17" s="34" t="s">
        <v>238</v>
      </c>
      <c r="D17" s="34" t="s">
        <v>239</v>
      </c>
      <c r="E17" s="34" t="s">
        <v>240</v>
      </c>
      <c r="F17" s="34" t="s">
        <v>241</v>
      </c>
      <c r="G17" s="34" t="s">
        <v>242</v>
      </c>
    </row>
    <row r="18" spans="2:7" ht="19.5" customHeight="1" x14ac:dyDescent="0.2">
      <c r="B18" s="6" t="s">
        <v>42</v>
      </c>
      <c r="C18" s="43">
        <f>IFERROR(SUMIFS('📊 Base de Datos'!$N$4:$N$207,'📊 Base de Datos'!$B$4:$B$207,$C$5,'📊 Base de Datos'!$G$4:$G$207,"Vial",'📊 Base de Datos'!$H$4:$H$207,"Alcance 1*"),0)</f>
        <v>12.06</v>
      </c>
      <c r="D18" s="43">
        <f>IFERROR(SUMIFS('📊 Base de Datos'!$N$4:$N$207,'📊 Base de Datos'!$B$4:$B$207,$C$5,'📊 Base de Datos'!$G$4:$G$207,"Vial",'📊 Base de Datos'!$H$4:$H$207,"Alcance 2*"),0)</f>
        <v>0.23749999999999999</v>
      </c>
      <c r="E18" s="43">
        <f>IFERROR(SUMIFS('📊 Base de Datos'!$N$4:$N$207,'📊 Base de Datos'!$B$4:$B$207,$C$5,'📊 Base de Datos'!$G$4:$G$207,"Vial",'📊 Base de Datos'!$H$4:$H$207,"Alcance 3*"),0)</f>
        <v>0</v>
      </c>
      <c r="F18" s="44">
        <f t="shared" ref="F18:F24" si="0">SUM(C18:E18)</f>
        <v>12.297500000000001</v>
      </c>
      <c r="G18" s="45">
        <f>IFERROR(F18/G14,"")</f>
        <v>0.94454472137946932</v>
      </c>
    </row>
    <row r="19" spans="2:7" ht="19.5" customHeight="1" x14ac:dyDescent="0.2">
      <c r="B19" s="10" t="s">
        <v>85</v>
      </c>
      <c r="C19" s="46">
        <f>IFERROR(SUMIFS('📊 Base de Datos'!$N$4:$N$207,'📊 Base de Datos'!$B$4:$B$207,$C$5,'📊 Base de Datos'!$G$4:$G$207,"Estructural",'📊 Base de Datos'!$H$4:$H$207,"Alcance 1*"),0)</f>
        <v>0</v>
      </c>
      <c r="D19" s="46">
        <f>IFERROR(SUMIFS('📊 Base de Datos'!$N$4:$N$207,'📊 Base de Datos'!$B$4:$B$207,$C$5,'📊 Base de Datos'!$G$4:$G$207,"Estructural",'📊 Base de Datos'!$H$4:$H$207,"Alcance 2*"),0)</f>
        <v>0</v>
      </c>
      <c r="E19" s="46">
        <f>IFERROR(SUMIFS('📊 Base de Datos'!$N$4:$N$207,'📊 Base de Datos'!$B$4:$B$207,$C$5,'📊 Base de Datos'!$G$4:$G$207,"Estructural",'📊 Base de Datos'!$H$4:$H$207,"Alcance 3*"),0)</f>
        <v>0</v>
      </c>
      <c r="F19" s="47">
        <f t="shared" si="0"/>
        <v>0</v>
      </c>
      <c r="G19" s="48">
        <f>IFERROR(F19/G14,"")</f>
        <v>0</v>
      </c>
    </row>
    <row r="20" spans="2:7" ht="19.5" customHeight="1" x14ac:dyDescent="0.2">
      <c r="B20" s="6" t="s">
        <v>91</v>
      </c>
      <c r="C20" s="43">
        <f>IFERROR(SUMIFS('📊 Base de Datos'!$N$4:$N$207,'📊 Base de Datos'!$B$4:$B$207,$C$5,'📊 Base de Datos'!$G$4:$G$207,"Hidráulica",'📊 Base de Datos'!$H$4:$H$207,"Alcance 1*"),0)</f>
        <v>0</v>
      </c>
      <c r="D20" s="43">
        <f>IFERROR(SUMIFS('📊 Base de Datos'!$N$4:$N$207,'📊 Base de Datos'!$B$4:$B$207,$C$5,'📊 Base de Datos'!$G$4:$G$207,"Hidráulica",'📊 Base de Datos'!$H$4:$H$207,"Alcance 2*"),0)</f>
        <v>0</v>
      </c>
      <c r="E20" s="43">
        <f>IFERROR(SUMIFS('📊 Base de Datos'!$N$4:$N$207,'📊 Base de Datos'!$B$4:$B$207,$C$5,'📊 Base de Datos'!$G$4:$G$207,"Hidráulica",'📊 Base de Datos'!$H$4:$H$207,"Alcance 3*"),0)</f>
        <v>0</v>
      </c>
      <c r="F20" s="44">
        <f t="shared" si="0"/>
        <v>0</v>
      </c>
      <c r="G20" s="45">
        <f>IFERROR(F20/G14,"")</f>
        <v>0</v>
      </c>
    </row>
    <row r="21" spans="2:7" ht="19.5" customHeight="1" x14ac:dyDescent="0.2">
      <c r="B21" s="10" t="s">
        <v>97</v>
      </c>
      <c r="C21" s="46">
        <f>IFERROR(SUMIFS('📊 Base de Datos'!$N$4:$N$207,'📊 Base de Datos'!$B$4:$B$207,$C$5,'📊 Base de Datos'!$G$4:$G$207,"Arquitectura",'📊 Base de Datos'!$H$4:$H$207,"Alcance 1*"),0)</f>
        <v>0</v>
      </c>
      <c r="D21" s="46">
        <f>IFERROR(SUMIFS('📊 Base de Datos'!$N$4:$N$207,'📊 Base de Datos'!$B$4:$B$207,$C$5,'📊 Base de Datos'!$G$4:$G$207,"Arquitectura",'📊 Base de Datos'!$H$4:$H$207,"Alcance 2*"),0)</f>
        <v>0</v>
      </c>
      <c r="E21" s="46">
        <f>IFERROR(SUMIFS('📊 Base de Datos'!$N$4:$N$207,'📊 Base de Datos'!$B$4:$B$207,$C$5,'📊 Base de Datos'!$G$4:$G$207,"Arquitectura",'📊 Base de Datos'!$H$4:$H$207,"Alcance 3*"),0)</f>
        <v>0</v>
      </c>
      <c r="F21" s="47">
        <f t="shared" si="0"/>
        <v>0</v>
      </c>
      <c r="G21" s="48">
        <f>IFERROR(F21/G14,"")</f>
        <v>0</v>
      </c>
    </row>
    <row r="22" spans="2:7" ht="19.5" customHeight="1" x14ac:dyDescent="0.2">
      <c r="B22" s="6" t="s">
        <v>104</v>
      </c>
      <c r="C22" s="43">
        <f>IFERROR(SUMIFS('📊 Base de Datos'!$N$4:$N$207,'📊 Base de Datos'!$B$4:$B$207,$C$5,'📊 Base de Datos'!$G$4:$G$207,"Oficina Central",'📊 Base de Datos'!$H$4:$H$207,"Alcance 1*"),0)</f>
        <v>0</v>
      </c>
      <c r="D22" s="43">
        <f>IFERROR(SUMIFS('📊 Base de Datos'!$N$4:$N$207,'📊 Base de Datos'!$B$4:$B$207,$C$5,'📊 Base de Datos'!$G$4:$G$207,"Oficina Central",'📊 Base de Datos'!$H$4:$H$207,"Alcance 2*"),0)</f>
        <v>0.72199999999999998</v>
      </c>
      <c r="E22" s="43">
        <f>IFERROR(SUMIFS('📊 Base de Datos'!$N$4:$N$207,'📊 Base de Datos'!$B$4:$B$207,$C$5,'📊 Base de Datos'!$G$4:$G$207,"Oficina Central",'📊 Base de Datos'!$H$4:$H$207,"Alcance 3*"),0)</f>
        <v>0</v>
      </c>
      <c r="F22" s="44">
        <f t="shared" si="0"/>
        <v>0.72199999999999998</v>
      </c>
      <c r="G22" s="45">
        <f>IFERROR(F22/G14,"")</f>
        <v>5.5455278620530735E-2</v>
      </c>
    </row>
    <row r="23" spans="2:7" ht="19.5" customHeight="1" x14ac:dyDescent="0.2">
      <c r="B23" s="10" t="s">
        <v>111</v>
      </c>
      <c r="C23" s="46">
        <f>IFERROR(SUMIFS('📊 Base de Datos'!$N$4:$N$207,'📊 Base de Datos'!$B$4:$B$207,$C$5,'📊 Base de Datos'!$G$4:$G$207,"Centro Logístico (Taller/Depósito)",'📊 Base de Datos'!$H$4:$H$207,"Alcance 1*"),0)</f>
        <v>0</v>
      </c>
      <c r="D23" s="46">
        <f>IFERROR(SUMIFS('📊 Base de Datos'!$N$4:$N$207,'📊 Base de Datos'!$B$4:$B$207,$C$5,'📊 Base de Datos'!$G$4:$G$207,"Centro Logístico (Taller/Depósito)",'📊 Base de Datos'!$H$4:$H$207,"Alcance 2*"),0)</f>
        <v>0</v>
      </c>
      <c r="E23" s="46">
        <f>IFERROR(SUMIFS('📊 Base de Datos'!$N$4:$N$207,'📊 Base de Datos'!$B$4:$B$207,$C$5,'📊 Base de Datos'!$G$4:$G$207,"Centro Logístico (Taller/Depósito)",'📊 Base de Datos'!$H$4:$H$207,"Alcance 3*"),0)</f>
        <v>0</v>
      </c>
      <c r="F23" s="47">
        <f t="shared" si="0"/>
        <v>0</v>
      </c>
      <c r="G23" s="48">
        <f>IFERROR(F23/G14,"")</f>
        <v>0</v>
      </c>
    </row>
    <row r="24" spans="2:7" ht="19.5" customHeight="1" x14ac:dyDescent="0.2">
      <c r="B24" s="6" t="s">
        <v>121</v>
      </c>
      <c r="C24" s="43">
        <f>IFERROR(SUMIFS('📊 Base de Datos'!$N$4:$N$207,'📊 Base de Datos'!$B$4:$B$207,$C$5,'📊 Base de Datos'!$G$4:$G$207,"Planta de Hormigón Fija",'📊 Base de Datos'!$H$4:$H$207,"Alcance 1*"),0)</f>
        <v>0</v>
      </c>
      <c r="D24" s="43">
        <f>IFERROR(SUMIFS('📊 Base de Datos'!$N$4:$N$207,'📊 Base de Datos'!$B$4:$B$207,$C$5,'📊 Base de Datos'!$G$4:$G$207,"Planta de Hormigón Fija",'📊 Base de Datos'!$H$4:$H$207,"Alcance 2*"),0)</f>
        <v>0</v>
      </c>
      <c r="E24" s="43">
        <f>IFERROR(SUMIFS('📊 Base de Datos'!$N$4:$N$207,'📊 Base de Datos'!$B$4:$B$207,$C$5,'📊 Base de Datos'!$G$4:$G$207,"Planta de Hormigón Fija",'📊 Base de Datos'!$H$4:$H$207,"Alcance 3*"),0)</f>
        <v>0</v>
      </c>
      <c r="F24" s="44">
        <f t="shared" si="0"/>
        <v>0</v>
      </c>
      <c r="G24" s="45">
        <f>IFERROR(F24/G14,"")</f>
        <v>0</v>
      </c>
    </row>
  </sheetData>
  <mergeCells count="4">
    <mergeCell ref="B2:G2"/>
    <mergeCell ref="B3:G3"/>
    <mergeCell ref="B7:G7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B2:G27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8" customWidth="1"/>
    <col min="3" max="7" width="20" customWidth="1"/>
    <col min="8" max="8" width="3" customWidth="1"/>
  </cols>
  <sheetData>
    <row r="2" spans="2:7" ht="37.5" customHeight="1" x14ac:dyDescent="0.2">
      <c r="B2" s="84" t="s">
        <v>243</v>
      </c>
      <c r="C2" s="84"/>
      <c r="D2" s="84"/>
      <c r="E2" s="84"/>
      <c r="F2" s="84"/>
      <c r="G2" s="84"/>
    </row>
    <row r="3" spans="2:7" ht="24" customHeight="1" x14ac:dyDescent="0.2">
      <c r="B3" s="76" t="s">
        <v>244</v>
      </c>
      <c r="C3" s="76"/>
      <c r="D3" s="76"/>
      <c r="E3" s="76"/>
      <c r="F3" s="76"/>
      <c r="G3" s="76"/>
    </row>
    <row r="4" spans="2:7" ht="18" customHeight="1" x14ac:dyDescent="0.2">
      <c r="B4" s="85" t="str">
        <f ca="1">"Período de reporte: Año "&amp;'📈 Consolidado'!C5&amp;"  ·  Fecha de emisión: "&amp;TEXT(TODAY(),"DD/MM/YYYY")</f>
        <v>Período de reporte: Año 2025  ·  Fecha de emisión: 25/04/2026</v>
      </c>
      <c r="C4" s="85"/>
      <c r="D4" s="85"/>
      <c r="E4" s="85"/>
      <c r="F4" s="85"/>
      <c r="G4" s="85"/>
    </row>
    <row r="5" spans="2:7" ht="12" customHeight="1" x14ac:dyDescent="0.2"/>
    <row r="6" spans="2:7" ht="24" customHeight="1" x14ac:dyDescent="0.2">
      <c r="B6" s="77" t="s">
        <v>245</v>
      </c>
      <c r="C6" s="77"/>
      <c r="D6" s="77"/>
      <c r="E6" s="77"/>
      <c r="F6" s="77"/>
      <c r="G6" s="77"/>
    </row>
    <row r="7" spans="2:7" ht="31.5" customHeight="1" x14ac:dyDescent="0.2">
      <c r="B7" s="49" t="s">
        <v>246</v>
      </c>
      <c r="C7" s="50" t="s">
        <v>247</v>
      </c>
      <c r="D7" s="51" t="s">
        <v>248</v>
      </c>
      <c r="E7" s="52" t="s">
        <v>249</v>
      </c>
      <c r="F7" s="53" t="s">
        <v>250</v>
      </c>
    </row>
    <row r="8" spans="2:7" ht="43.5" customHeight="1" x14ac:dyDescent="0.2">
      <c r="B8" s="54">
        <f>'📈 Consolidado'!G14</f>
        <v>13.019500000000001</v>
      </c>
      <c r="C8" s="55">
        <f>'📈 Consolidado'!G9</f>
        <v>12.06</v>
      </c>
      <c r="D8" s="56">
        <f>'📈 Consolidado'!G10</f>
        <v>0.95950000000000002</v>
      </c>
      <c r="E8" s="57">
        <f>SUM('📈 Consolidado'!G11:G13)</f>
        <v>0</v>
      </c>
      <c r="F8" s="58">
        <f>COUNTIF('🏗️ Obras'!N4:N8,"Activa")</f>
        <v>5</v>
      </c>
    </row>
    <row r="9" spans="2:7" ht="15.75" customHeight="1" x14ac:dyDescent="0.2">
      <c r="B9" s="59" t="s">
        <v>251</v>
      </c>
      <c r="C9" s="59" t="s">
        <v>251</v>
      </c>
      <c r="D9" s="59" t="s">
        <v>251</v>
      </c>
      <c r="E9" s="59" t="s">
        <v>251</v>
      </c>
      <c r="F9" s="59" t="s">
        <v>252</v>
      </c>
    </row>
    <row r="10" spans="2:7" ht="12" customHeight="1" x14ac:dyDescent="0.2"/>
    <row r="11" spans="2:7" ht="24" customHeight="1" x14ac:dyDescent="0.2">
      <c r="B11" s="77" t="s">
        <v>253</v>
      </c>
      <c r="C11" s="77"/>
      <c r="D11" s="77"/>
      <c r="E11" s="77"/>
      <c r="F11" s="77"/>
      <c r="G11" s="77"/>
    </row>
    <row r="12" spans="2:7" ht="21.75" customHeight="1" x14ac:dyDescent="0.2">
      <c r="B12" s="34" t="s">
        <v>228</v>
      </c>
      <c r="C12" s="34" t="s">
        <v>208</v>
      </c>
      <c r="D12" s="34" t="s">
        <v>229</v>
      </c>
      <c r="E12" s="34" t="s">
        <v>230</v>
      </c>
      <c r="F12" s="34" t="s">
        <v>231</v>
      </c>
      <c r="G12" s="34" t="s">
        <v>254</v>
      </c>
    </row>
    <row r="13" spans="2:7" ht="21.75" customHeight="1" x14ac:dyDescent="0.2">
      <c r="B13" s="60" t="s">
        <v>255</v>
      </c>
      <c r="C13" s="61" t="str">
        <f>'📈 Consolidado'!B9</f>
        <v>Alcance 1 - Emisiones directas de GEI</v>
      </c>
      <c r="D13" s="61">
        <f>'📈 Consolidado'!C9</f>
        <v>12.06</v>
      </c>
      <c r="E13" s="61">
        <f>'📈 Consolidado'!D9</f>
        <v>0</v>
      </c>
      <c r="F13" s="61">
        <f>'📈 Consolidado'!E9</f>
        <v>0</v>
      </c>
      <c r="G13" s="61">
        <f>'📈 Consolidado'!F9</f>
        <v>0</v>
      </c>
    </row>
    <row r="14" spans="2:7" ht="21.75" customHeight="1" x14ac:dyDescent="0.2">
      <c r="B14" s="62" t="s">
        <v>256</v>
      </c>
      <c r="C14" s="63" t="str">
        <f>'📈 Consolidado'!B10</f>
        <v>Alcance 2 - Emisiones indirectas por energía importada</v>
      </c>
      <c r="D14" s="63">
        <f>'📈 Consolidado'!C10</f>
        <v>0.95950000000000002</v>
      </c>
      <c r="E14" s="63">
        <f>'📈 Consolidado'!D10</f>
        <v>0</v>
      </c>
      <c r="F14" s="63">
        <f>'📈 Consolidado'!E10</f>
        <v>0</v>
      </c>
      <c r="G14" s="63">
        <f>'📈 Consolidado'!F10</f>
        <v>0</v>
      </c>
    </row>
    <row r="15" spans="2:7" ht="21.75" customHeight="1" x14ac:dyDescent="0.2">
      <c r="B15" s="64" t="s">
        <v>233</v>
      </c>
      <c r="C15" s="65" t="str">
        <f>'📈 Consolidado'!B11</f>
        <v>Alcance 3 - Transporte</v>
      </c>
      <c r="D15" s="65">
        <f>'📈 Consolidado'!C11</f>
        <v>0</v>
      </c>
      <c r="E15" s="65">
        <f>'📈 Consolidado'!D11</f>
        <v>0</v>
      </c>
      <c r="F15" s="65">
        <f>'📈 Consolidado'!E11</f>
        <v>0</v>
      </c>
      <c r="G15" s="65">
        <f>'📈 Consolidado'!F11</f>
        <v>0</v>
      </c>
    </row>
    <row r="16" spans="2:7" ht="21.75" customHeight="1" x14ac:dyDescent="0.2">
      <c r="B16" s="64" t="s">
        <v>234</v>
      </c>
      <c r="C16" s="65" t="str">
        <f>'📈 Consolidado'!B12</f>
        <v>Alcance 3 - Productos utilizados</v>
      </c>
      <c r="D16" s="65">
        <f>'📈 Consolidado'!C12</f>
        <v>0</v>
      </c>
      <c r="E16" s="65">
        <f>'📈 Consolidado'!D12</f>
        <v>0</v>
      </c>
      <c r="F16" s="65">
        <f>'📈 Consolidado'!E12</f>
        <v>0</v>
      </c>
      <c r="G16" s="65">
        <f>'📈 Consolidado'!F12</f>
        <v>0</v>
      </c>
    </row>
    <row r="17" spans="2:7" ht="21.75" customHeight="1" x14ac:dyDescent="0.2">
      <c r="B17" s="64" t="s">
        <v>257</v>
      </c>
      <c r="C17" s="65" t="str">
        <f>'📈 Consolidado'!B13</f>
        <v>Alcance 3 - Otras emisiones indirectas</v>
      </c>
      <c r="D17" s="65">
        <f>'📈 Consolidado'!C13</f>
        <v>0</v>
      </c>
      <c r="E17" s="65">
        <f>'📈 Consolidado'!D13</f>
        <v>0</v>
      </c>
      <c r="F17" s="65">
        <f>'📈 Consolidado'!E13</f>
        <v>0</v>
      </c>
      <c r="G17" s="65">
        <f>'📈 Consolidado'!F13</f>
        <v>0</v>
      </c>
    </row>
    <row r="18" spans="2:7" ht="21.75" customHeight="1" x14ac:dyDescent="0.2">
      <c r="B18" s="66" t="s">
        <v>241</v>
      </c>
      <c r="C18" s="67" t="str">
        <f>'📈 Consolidado'!B14</f>
        <v>TOTAL EMISIONES ORGANIZACIÓN</v>
      </c>
      <c r="D18" s="67">
        <f>'📈 Consolidado'!C14</f>
        <v>13.019500000000001</v>
      </c>
      <c r="E18" s="67">
        <f>'📈 Consolidado'!D14</f>
        <v>0</v>
      </c>
      <c r="F18" s="67">
        <f>'📈 Consolidado'!E14</f>
        <v>0</v>
      </c>
      <c r="G18" s="67">
        <f>'📈 Consolidado'!F14</f>
        <v>0</v>
      </c>
    </row>
    <row r="20" spans="2:7" ht="12" customHeight="1" x14ac:dyDescent="0.2"/>
    <row r="21" spans="2:7" ht="19.5" customHeight="1" x14ac:dyDescent="0.2">
      <c r="B21" s="83" t="s">
        <v>258</v>
      </c>
      <c r="C21" s="83"/>
      <c r="D21" s="83"/>
      <c r="E21" s="83"/>
      <c r="F21" s="83"/>
      <c r="G21" s="83"/>
    </row>
    <row r="22" spans="2:7" ht="18" customHeight="1" x14ac:dyDescent="0.2">
      <c r="B22" s="81" t="s">
        <v>259</v>
      </c>
      <c r="C22" s="81"/>
      <c r="D22" s="81"/>
      <c r="E22" s="81"/>
      <c r="F22" s="81"/>
      <c r="G22" s="81"/>
    </row>
    <row r="23" spans="2:7" ht="18" customHeight="1" x14ac:dyDescent="0.2">
      <c r="B23" s="82" t="s">
        <v>260</v>
      </c>
      <c r="C23" s="82"/>
      <c r="D23" s="82"/>
      <c r="E23" s="82"/>
      <c r="F23" s="82"/>
      <c r="G23" s="82"/>
    </row>
    <row r="24" spans="2:7" ht="18" customHeight="1" x14ac:dyDescent="0.2">
      <c r="B24" s="81" t="s">
        <v>261</v>
      </c>
      <c r="C24" s="81"/>
      <c r="D24" s="81"/>
      <c r="E24" s="81"/>
      <c r="F24" s="81"/>
      <c r="G24" s="81"/>
    </row>
    <row r="25" spans="2:7" ht="18" customHeight="1" x14ac:dyDescent="0.2">
      <c r="B25" s="82" t="s">
        <v>262</v>
      </c>
      <c r="C25" s="82"/>
      <c r="D25" s="82"/>
      <c r="E25" s="82"/>
      <c r="F25" s="82"/>
      <c r="G25" s="82"/>
    </row>
    <row r="26" spans="2:7" ht="18" customHeight="1" x14ac:dyDescent="0.2">
      <c r="B26" s="81" t="s">
        <v>263</v>
      </c>
      <c r="C26" s="81"/>
      <c r="D26" s="81"/>
      <c r="E26" s="81"/>
      <c r="F26" s="81"/>
      <c r="G26" s="81"/>
    </row>
    <row r="27" spans="2:7" ht="18" customHeight="1" x14ac:dyDescent="0.2">
      <c r="B27" s="82" t="s">
        <v>264</v>
      </c>
      <c r="C27" s="82"/>
      <c r="D27" s="82"/>
      <c r="E27" s="82"/>
      <c r="F27" s="82"/>
      <c r="G27" s="82"/>
    </row>
  </sheetData>
  <mergeCells count="12">
    <mergeCell ref="B2:G2"/>
    <mergeCell ref="B3:G3"/>
    <mergeCell ref="B4:G4"/>
    <mergeCell ref="B6:G6"/>
    <mergeCell ref="B11:G11"/>
    <mergeCell ref="B26:G26"/>
    <mergeCell ref="B27:G27"/>
    <mergeCell ref="B21:G21"/>
    <mergeCell ref="B22:G22"/>
    <mergeCell ref="B23:G23"/>
    <mergeCell ref="B24:G24"/>
    <mergeCell ref="B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2:G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3" width="28" customWidth="1"/>
    <col min="4" max="4" width="14" customWidth="1"/>
    <col min="5" max="6" width="20" customWidth="1"/>
    <col min="7" max="7" width="32" customWidth="1"/>
    <col min="8" max="8" width="3" customWidth="1"/>
  </cols>
  <sheetData>
    <row r="2" spans="2:7" ht="30" customHeight="1" x14ac:dyDescent="0.2">
      <c r="B2" s="86" t="s">
        <v>265</v>
      </c>
      <c r="C2" s="86"/>
      <c r="D2" s="86"/>
      <c r="E2" s="86"/>
      <c r="F2" s="86"/>
      <c r="G2" s="86"/>
    </row>
    <row r="3" spans="2:7" ht="18" customHeight="1" x14ac:dyDescent="0.2">
      <c r="B3" s="87" t="s">
        <v>266</v>
      </c>
      <c r="C3" s="87"/>
      <c r="D3" s="87"/>
      <c r="E3" s="87"/>
      <c r="F3" s="87"/>
      <c r="G3" s="87"/>
    </row>
    <row r="4" spans="2:7" ht="21.75" customHeight="1" x14ac:dyDescent="0.2">
      <c r="B4" s="1" t="s">
        <v>267</v>
      </c>
      <c r="C4" s="1" t="s">
        <v>268</v>
      </c>
      <c r="D4" s="1" t="s">
        <v>202</v>
      </c>
      <c r="E4" s="1" t="s">
        <v>269</v>
      </c>
      <c r="F4" s="1" t="s">
        <v>270</v>
      </c>
      <c r="G4" s="1" t="s">
        <v>271</v>
      </c>
    </row>
    <row r="5" spans="2:7" ht="19.5" customHeight="1" x14ac:dyDescent="0.2">
      <c r="B5" s="68" t="s">
        <v>272</v>
      </c>
      <c r="C5" s="21" t="s">
        <v>273</v>
      </c>
      <c r="D5" s="22" t="s">
        <v>45</v>
      </c>
      <c r="E5" s="24">
        <v>2.68</v>
      </c>
      <c r="F5" s="21" t="s">
        <v>238</v>
      </c>
      <c r="G5" s="22" t="s">
        <v>274</v>
      </c>
    </row>
    <row r="6" spans="2:7" ht="19.5" customHeight="1" x14ac:dyDescent="0.2">
      <c r="B6" s="68" t="s">
        <v>275</v>
      </c>
      <c r="C6" s="21" t="s">
        <v>276</v>
      </c>
      <c r="D6" s="22" t="s">
        <v>45</v>
      </c>
      <c r="E6" s="24">
        <v>2.31</v>
      </c>
      <c r="F6" s="21" t="s">
        <v>238</v>
      </c>
      <c r="G6" s="22" t="s">
        <v>277</v>
      </c>
    </row>
    <row r="7" spans="2:7" ht="19.5" customHeight="1" x14ac:dyDescent="0.2">
      <c r="B7" s="68" t="s">
        <v>278</v>
      </c>
      <c r="C7" s="21" t="s">
        <v>279</v>
      </c>
      <c r="D7" s="22" t="s">
        <v>52</v>
      </c>
      <c r="E7" s="24">
        <v>2.9830000000000001</v>
      </c>
      <c r="F7" s="21" t="s">
        <v>238</v>
      </c>
      <c r="G7" s="22" t="s">
        <v>277</v>
      </c>
    </row>
    <row r="8" spans="2:7" ht="19.5" customHeight="1" x14ac:dyDescent="0.2">
      <c r="B8" s="68" t="s">
        <v>280</v>
      </c>
      <c r="C8" s="21" t="s">
        <v>279</v>
      </c>
      <c r="D8" s="22" t="s">
        <v>79</v>
      </c>
      <c r="E8" s="24">
        <v>1.8879999999999999</v>
      </c>
      <c r="F8" s="21" t="s">
        <v>238</v>
      </c>
      <c r="G8" s="22" t="s">
        <v>277</v>
      </c>
    </row>
    <row r="9" spans="2:7" ht="19.5" customHeight="1" x14ac:dyDescent="0.2">
      <c r="B9" s="68" t="s">
        <v>281</v>
      </c>
      <c r="C9" s="21" t="s">
        <v>282</v>
      </c>
      <c r="D9" s="22" t="s">
        <v>52</v>
      </c>
      <c r="E9" s="24">
        <v>1430</v>
      </c>
      <c r="F9" s="21" t="s">
        <v>238</v>
      </c>
      <c r="G9" s="22" t="s">
        <v>283</v>
      </c>
    </row>
    <row r="10" spans="2:7" ht="19.5" customHeight="1" x14ac:dyDescent="0.2">
      <c r="B10" s="68" t="s">
        <v>284</v>
      </c>
      <c r="C10" s="21" t="s">
        <v>282</v>
      </c>
      <c r="D10" s="22" t="s">
        <v>52</v>
      </c>
      <c r="E10" s="24">
        <v>2088</v>
      </c>
      <c r="F10" s="21" t="s">
        <v>238</v>
      </c>
      <c r="G10" s="22" t="s">
        <v>283</v>
      </c>
    </row>
    <row r="11" spans="2:7" ht="19.5" customHeight="1" x14ac:dyDescent="0.2">
      <c r="B11" s="68" t="s">
        <v>285</v>
      </c>
      <c r="C11" s="21" t="s">
        <v>286</v>
      </c>
      <c r="D11" s="22" t="s">
        <v>52</v>
      </c>
      <c r="E11" s="24">
        <v>1</v>
      </c>
      <c r="F11" s="21" t="s">
        <v>238</v>
      </c>
      <c r="G11" s="22" t="s">
        <v>277</v>
      </c>
    </row>
    <row r="12" spans="2:7" ht="19.5" customHeight="1" x14ac:dyDescent="0.2">
      <c r="B12" s="69" t="s">
        <v>287</v>
      </c>
      <c r="C12" s="26" t="s">
        <v>288</v>
      </c>
      <c r="D12" s="27" t="s">
        <v>56</v>
      </c>
      <c r="E12" s="29">
        <v>0.19</v>
      </c>
      <c r="F12" s="26" t="s">
        <v>239</v>
      </c>
      <c r="G12" s="27" t="s">
        <v>289</v>
      </c>
    </row>
    <row r="13" spans="2:7" ht="19.5" customHeight="1" x14ac:dyDescent="0.2">
      <c r="B13" s="70" t="s">
        <v>290</v>
      </c>
      <c r="C13" s="71" t="s">
        <v>291</v>
      </c>
      <c r="D13" s="72" t="s">
        <v>59</v>
      </c>
      <c r="E13" s="73">
        <v>0.21</v>
      </c>
      <c r="F13" s="71" t="s">
        <v>240</v>
      </c>
      <c r="G13" s="72" t="s">
        <v>292</v>
      </c>
    </row>
    <row r="14" spans="2:7" ht="19.5" customHeight="1" x14ac:dyDescent="0.2">
      <c r="B14" s="70" t="s">
        <v>293</v>
      </c>
      <c r="C14" s="71" t="s">
        <v>294</v>
      </c>
      <c r="D14" s="72" t="s">
        <v>59</v>
      </c>
      <c r="E14" s="73">
        <v>0.15</v>
      </c>
      <c r="F14" s="71" t="s">
        <v>240</v>
      </c>
      <c r="G14" s="72" t="s">
        <v>277</v>
      </c>
    </row>
    <row r="15" spans="2:7" ht="19.5" customHeight="1" x14ac:dyDescent="0.2">
      <c r="B15" s="70" t="s">
        <v>295</v>
      </c>
      <c r="C15" s="71" t="s">
        <v>296</v>
      </c>
      <c r="D15" s="72" t="s">
        <v>59</v>
      </c>
      <c r="E15" s="73">
        <v>0.16700000000000001</v>
      </c>
      <c r="F15" s="71" t="s">
        <v>240</v>
      </c>
      <c r="G15" s="72" t="s">
        <v>277</v>
      </c>
    </row>
    <row r="16" spans="2:7" ht="19.5" customHeight="1" x14ac:dyDescent="0.2">
      <c r="B16" s="70" t="s">
        <v>297</v>
      </c>
      <c r="C16" s="71" t="s">
        <v>296</v>
      </c>
      <c r="D16" s="72" t="s">
        <v>59</v>
      </c>
      <c r="E16" s="73">
        <v>0.192</v>
      </c>
      <c r="F16" s="71" t="s">
        <v>240</v>
      </c>
      <c r="G16" s="72" t="s">
        <v>277</v>
      </c>
    </row>
    <row r="17" spans="2:7" ht="19.5" customHeight="1" x14ac:dyDescent="0.2">
      <c r="B17" s="70" t="s">
        <v>298</v>
      </c>
      <c r="C17" s="71" t="s">
        <v>299</v>
      </c>
      <c r="D17" s="72" t="s">
        <v>59</v>
      </c>
      <c r="E17" s="73">
        <v>0.255</v>
      </c>
      <c r="F17" s="71" t="s">
        <v>240</v>
      </c>
      <c r="G17" s="72" t="s">
        <v>300</v>
      </c>
    </row>
    <row r="18" spans="2:7" ht="19.5" customHeight="1" x14ac:dyDescent="0.2">
      <c r="B18" s="70" t="s">
        <v>301</v>
      </c>
      <c r="C18" s="71" t="s">
        <v>302</v>
      </c>
      <c r="D18" s="72" t="s">
        <v>59</v>
      </c>
      <c r="E18" s="73">
        <v>0.19500000000000001</v>
      </c>
      <c r="F18" s="71" t="s">
        <v>240</v>
      </c>
      <c r="G18" s="72" t="s">
        <v>300</v>
      </c>
    </row>
    <row r="19" spans="2:7" ht="19.5" customHeight="1" x14ac:dyDescent="0.2">
      <c r="B19" s="70" t="s">
        <v>68</v>
      </c>
      <c r="C19" s="71" t="s">
        <v>303</v>
      </c>
      <c r="D19" s="72" t="s">
        <v>64</v>
      </c>
      <c r="E19" s="73">
        <v>870</v>
      </c>
      <c r="F19" s="71" t="s">
        <v>240</v>
      </c>
      <c r="G19" s="72" t="s">
        <v>304</v>
      </c>
    </row>
    <row r="20" spans="2:7" ht="19.5" customHeight="1" x14ac:dyDescent="0.2">
      <c r="B20" s="70" t="s">
        <v>88</v>
      </c>
      <c r="C20" s="71" t="s">
        <v>305</v>
      </c>
      <c r="D20" s="72" t="s">
        <v>64</v>
      </c>
      <c r="E20" s="73">
        <v>1800</v>
      </c>
      <c r="F20" s="71" t="s">
        <v>240</v>
      </c>
      <c r="G20" s="72" t="s">
        <v>306</v>
      </c>
    </row>
    <row r="21" spans="2:7" ht="19.5" customHeight="1" x14ac:dyDescent="0.2">
      <c r="B21" s="70" t="s">
        <v>87</v>
      </c>
      <c r="C21" s="71" t="s">
        <v>307</v>
      </c>
      <c r="D21" s="72" t="s">
        <v>64</v>
      </c>
      <c r="E21" s="73">
        <v>1600</v>
      </c>
      <c r="F21" s="71" t="s">
        <v>240</v>
      </c>
      <c r="G21" s="72" t="s">
        <v>306</v>
      </c>
    </row>
    <row r="22" spans="2:7" ht="19.5" customHeight="1" x14ac:dyDescent="0.2">
      <c r="B22" s="70" t="s">
        <v>86</v>
      </c>
      <c r="C22" s="71" t="s">
        <v>308</v>
      </c>
      <c r="D22" s="72" t="s">
        <v>79</v>
      </c>
      <c r="E22" s="73">
        <v>300</v>
      </c>
      <c r="F22" s="71" t="s">
        <v>240</v>
      </c>
      <c r="G22" s="72" t="s">
        <v>309</v>
      </c>
    </row>
    <row r="23" spans="2:7" ht="19.5" customHeight="1" x14ac:dyDescent="0.2">
      <c r="B23" s="70" t="s">
        <v>98</v>
      </c>
      <c r="C23" s="71" t="s">
        <v>310</v>
      </c>
      <c r="D23" s="72" t="s">
        <v>64</v>
      </c>
      <c r="E23" s="73">
        <v>270</v>
      </c>
      <c r="F23" s="71" t="s">
        <v>240</v>
      </c>
      <c r="G23" s="72" t="s">
        <v>277</v>
      </c>
    </row>
    <row r="24" spans="2:7" ht="19.5" customHeight="1" x14ac:dyDescent="0.2">
      <c r="B24" s="70" t="s">
        <v>311</v>
      </c>
      <c r="C24" s="71" t="s">
        <v>312</v>
      </c>
      <c r="D24" s="72" t="s">
        <v>64</v>
      </c>
      <c r="E24" s="73">
        <v>850</v>
      </c>
      <c r="F24" s="71" t="s">
        <v>240</v>
      </c>
      <c r="G24" s="72" t="s">
        <v>313</v>
      </c>
    </row>
    <row r="25" spans="2:7" ht="19.5" customHeight="1" x14ac:dyDescent="0.2">
      <c r="B25" s="70" t="s">
        <v>314</v>
      </c>
      <c r="C25" s="71" t="s">
        <v>315</v>
      </c>
      <c r="D25" s="72" t="s">
        <v>52</v>
      </c>
      <c r="E25" s="73">
        <v>8.24</v>
      </c>
      <c r="F25" s="71" t="s">
        <v>240</v>
      </c>
      <c r="G25" s="72" t="s">
        <v>316</v>
      </c>
    </row>
    <row r="26" spans="2:7" ht="19.5" customHeight="1" x14ac:dyDescent="0.2">
      <c r="B26" s="70" t="s">
        <v>317</v>
      </c>
      <c r="C26" s="71" t="s">
        <v>318</v>
      </c>
      <c r="D26" s="72" t="s">
        <v>79</v>
      </c>
      <c r="E26" s="73">
        <v>145</v>
      </c>
      <c r="F26" s="71" t="s">
        <v>240</v>
      </c>
      <c r="G26" s="72" t="s">
        <v>277</v>
      </c>
    </row>
    <row r="27" spans="2:7" ht="19.5" customHeight="1" x14ac:dyDescent="0.2">
      <c r="B27" s="70" t="s">
        <v>319</v>
      </c>
      <c r="C27" s="71" t="s">
        <v>320</v>
      </c>
      <c r="D27" s="72" t="s">
        <v>52</v>
      </c>
      <c r="E27" s="73">
        <v>2.41</v>
      </c>
      <c r="F27" s="71" t="s">
        <v>240</v>
      </c>
      <c r="G27" s="72" t="s">
        <v>321</v>
      </c>
    </row>
    <row r="28" spans="2:7" ht="19.5" customHeight="1" x14ac:dyDescent="0.2">
      <c r="B28" s="70" t="s">
        <v>322</v>
      </c>
      <c r="C28" s="71" t="s">
        <v>323</v>
      </c>
      <c r="D28" s="72" t="s">
        <v>52</v>
      </c>
      <c r="E28" s="73">
        <v>2</v>
      </c>
      <c r="F28" s="71" t="s">
        <v>240</v>
      </c>
      <c r="G28" s="72" t="s">
        <v>321</v>
      </c>
    </row>
    <row r="29" spans="2:7" ht="19.5" customHeight="1" x14ac:dyDescent="0.2">
      <c r="B29" s="70" t="s">
        <v>324</v>
      </c>
      <c r="C29" s="71" t="s">
        <v>325</v>
      </c>
      <c r="D29" s="72" t="s">
        <v>45</v>
      </c>
      <c r="E29" s="73">
        <v>3.5</v>
      </c>
      <c r="F29" s="71" t="s">
        <v>240</v>
      </c>
      <c r="G29" s="72" t="s">
        <v>326</v>
      </c>
    </row>
    <row r="30" spans="2:7" ht="19.5" customHeight="1" x14ac:dyDescent="0.2">
      <c r="B30" s="70" t="s">
        <v>327</v>
      </c>
      <c r="C30" s="71" t="s">
        <v>328</v>
      </c>
      <c r="D30" s="72" t="s">
        <v>45</v>
      </c>
      <c r="E30" s="73">
        <v>1.8</v>
      </c>
      <c r="F30" s="71" t="s">
        <v>240</v>
      </c>
      <c r="G30" s="72" t="s">
        <v>326</v>
      </c>
    </row>
    <row r="31" spans="2:7" ht="19.5" customHeight="1" x14ac:dyDescent="0.2">
      <c r="B31" s="70" t="s">
        <v>329</v>
      </c>
      <c r="C31" s="71" t="s">
        <v>330</v>
      </c>
      <c r="D31" s="72" t="s">
        <v>64</v>
      </c>
      <c r="E31" s="73">
        <v>580</v>
      </c>
      <c r="F31" s="71" t="s">
        <v>240</v>
      </c>
      <c r="G31" s="72" t="s">
        <v>277</v>
      </c>
    </row>
    <row r="32" spans="2:7" ht="19.5" customHeight="1" x14ac:dyDescent="0.2">
      <c r="B32" s="70" t="s">
        <v>331</v>
      </c>
      <c r="C32" s="71" t="s">
        <v>332</v>
      </c>
      <c r="D32" s="72" t="s">
        <v>52</v>
      </c>
      <c r="E32" s="73">
        <v>2.5</v>
      </c>
      <c r="F32" s="71" t="s">
        <v>240</v>
      </c>
      <c r="G32" s="72" t="s">
        <v>333</v>
      </c>
    </row>
    <row r="33" spans="2:7" ht="19.5" customHeight="1" x14ac:dyDescent="0.2">
      <c r="B33" s="70" t="s">
        <v>110</v>
      </c>
      <c r="C33" s="71" t="s">
        <v>334</v>
      </c>
      <c r="D33" s="72" t="s">
        <v>79</v>
      </c>
      <c r="E33" s="73">
        <v>0.78</v>
      </c>
      <c r="F33" s="71" t="s">
        <v>240</v>
      </c>
      <c r="G33" s="72" t="s">
        <v>277</v>
      </c>
    </row>
    <row r="35" spans="2:7" ht="36" customHeight="1" x14ac:dyDescent="0.2">
      <c r="B35" s="88" t="s">
        <v>335</v>
      </c>
      <c r="C35" s="88"/>
      <c r="D35" s="88"/>
      <c r="E35" s="88"/>
      <c r="F35" s="88"/>
      <c r="G35" s="88"/>
    </row>
  </sheetData>
  <mergeCells count="3">
    <mergeCell ref="B2:G2"/>
    <mergeCell ref="B3:G3"/>
    <mergeCell ref="B35:G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📋 Instrucciones</vt:lpstr>
      <vt:lpstr>⚙️ Configuración</vt:lpstr>
      <vt:lpstr>🏗️ Obras</vt:lpstr>
      <vt:lpstr>📊 Base de Datos</vt:lpstr>
      <vt:lpstr>📈 Consolidado</vt:lpstr>
      <vt:lpstr>🏢 Informe Dirección</vt:lpstr>
      <vt:lpstr>🔢 Factores Emisión</vt:lpstr>
      <vt:lpstr>CategoriasISO</vt:lpstr>
      <vt:lpstr>TiposInstalacion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Gonzalo  Troche</cp:lastModifiedBy>
  <cp:revision>0</cp:revision>
  <dcterms:created xsi:type="dcterms:W3CDTF">2026-04-01T18:15:13Z</dcterms:created>
  <dcterms:modified xsi:type="dcterms:W3CDTF">2026-05-17T20:49:32Z</dcterms:modified>
  <dc:language>en-US</dc:language>
</cp:coreProperties>
</file>